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xampp\htdocs\infinitebrain-backoffice\docs\"/>
    </mc:Choice>
  </mc:AlternateContent>
  <xr:revisionPtr revIDLastSave="0" documentId="13_ncr:1_{05127EF5-8961-43A5-9AA7-06CC9DE7F5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0" i="1" l="1"/>
  <c r="J393" i="1" s="1"/>
  <c r="J400" i="1" s="1"/>
  <c r="M397" i="1" s="1"/>
  <c r="O394" i="1"/>
  <c r="F393" i="1"/>
  <c r="O392" i="1"/>
  <c r="F374" i="1"/>
  <c r="F381" i="1" s="1"/>
  <c r="O373" i="1"/>
  <c r="O375" i="1" s="1"/>
  <c r="M355" i="1"/>
  <c r="M374" i="1" s="1"/>
  <c r="M393" i="1" s="1"/>
  <c r="F355" i="1"/>
  <c r="F362" i="1" s="1"/>
  <c r="F343" i="1"/>
  <c r="J336" i="1" s="1"/>
  <c r="J343" i="1" s="1"/>
  <c r="M340" i="1" s="1"/>
  <c r="O337" i="1"/>
  <c r="F336" i="1"/>
  <c r="O335" i="1"/>
  <c r="M317" i="1"/>
  <c r="M336" i="1" s="1"/>
  <c r="F317" i="1"/>
  <c r="F324" i="1" s="1"/>
  <c r="O316" i="1"/>
  <c r="O318" i="1" s="1"/>
  <c r="F305" i="1"/>
  <c r="O299" i="1"/>
  <c r="J299" i="1"/>
  <c r="M298" i="1"/>
  <c r="J298" i="1"/>
  <c r="J305" i="1" s="1"/>
  <c r="M302" i="1" s="1"/>
  <c r="O297" i="1"/>
  <c r="F286" i="1"/>
  <c r="O280" i="1"/>
  <c r="J280" i="1"/>
  <c r="M279" i="1"/>
  <c r="J279" i="1"/>
  <c r="J286" i="1" s="1"/>
  <c r="M283" i="1" s="1"/>
  <c r="O278" i="1"/>
  <c r="M260" i="1"/>
  <c r="F260" i="1"/>
  <c r="F267" i="1" s="1"/>
  <c r="F241" i="1"/>
  <c r="F248" i="1" s="1"/>
  <c r="F222" i="1"/>
  <c r="F229" i="1" s="1"/>
  <c r="M203" i="1"/>
  <c r="M222" i="1" s="1"/>
  <c r="M241" i="1" s="1"/>
  <c r="F203" i="1"/>
  <c r="J203" i="1" s="1"/>
  <c r="J210" i="1" s="1"/>
  <c r="F191" i="1"/>
  <c r="O185" i="1"/>
  <c r="M184" i="1"/>
  <c r="J184" i="1"/>
  <c r="J191" i="1" s="1"/>
  <c r="M188" i="1" s="1"/>
  <c r="F171" i="1"/>
  <c r="M164" i="1"/>
  <c r="F164" i="1"/>
  <c r="O163" i="1" s="1"/>
  <c r="O165" i="1" s="1"/>
  <c r="F152" i="1"/>
  <c r="M145" i="1"/>
  <c r="J145" i="1"/>
  <c r="J152" i="1" s="1"/>
  <c r="M149" i="1" s="1"/>
  <c r="O144" i="1"/>
  <c r="O146" i="1" s="1"/>
  <c r="M126" i="1"/>
  <c r="F126" i="1"/>
  <c r="F133" i="1" s="1"/>
  <c r="M107" i="1"/>
  <c r="F107" i="1"/>
  <c r="J107" i="1" s="1"/>
  <c r="E95" i="1"/>
  <c r="M88" i="1"/>
  <c r="J88" i="1"/>
  <c r="J95" i="1" s="1"/>
  <c r="M92" i="1" s="1"/>
  <c r="O87" i="1"/>
  <c r="O89" i="1" s="1"/>
  <c r="M69" i="1"/>
  <c r="F69" i="1"/>
  <c r="F76" i="1" s="1"/>
  <c r="O68" i="1"/>
  <c r="O70" i="1" s="1"/>
  <c r="F57" i="1"/>
  <c r="J50" i="1" s="1"/>
  <c r="J57" i="1" s="1"/>
  <c r="F51" i="1"/>
  <c r="M50" i="1"/>
  <c r="O49" i="1"/>
  <c r="O51" i="1" s="1"/>
  <c r="M31" i="1"/>
  <c r="F31" i="1"/>
  <c r="F38" i="1" s="1"/>
  <c r="F12" i="1"/>
  <c r="F18" i="1" s="1"/>
  <c r="J11" i="1"/>
  <c r="J18" i="1" s="1"/>
  <c r="O30" i="1" l="1"/>
  <c r="O32" i="1" s="1"/>
  <c r="O202" i="1"/>
  <c r="O204" i="1" s="1"/>
  <c r="F114" i="1"/>
  <c r="O125" i="1"/>
  <c r="O127" i="1" s="1"/>
  <c r="J355" i="1"/>
  <c r="J362" i="1" s="1"/>
  <c r="M359" i="1" s="1"/>
  <c r="J317" i="1"/>
  <c r="J324" i="1" s="1"/>
  <c r="M321" i="1" s="1"/>
  <c r="J222" i="1"/>
  <c r="J229" i="1" s="1"/>
  <c r="M226" i="1" s="1"/>
  <c r="O221" i="1" s="1"/>
  <c r="O223" i="1" s="1"/>
  <c r="M15" i="1"/>
  <c r="M168" i="1"/>
  <c r="J241" i="1"/>
  <c r="J248" i="1" s="1"/>
  <c r="M245" i="1" s="1"/>
  <c r="O240" i="1" s="1"/>
  <c r="O242" i="1" s="1"/>
  <c r="J260" i="1"/>
  <c r="J267" i="1" s="1"/>
  <c r="M264" i="1" s="1"/>
  <c r="O259" i="1" s="1"/>
  <c r="O261" i="1" s="1"/>
  <c r="J374" i="1"/>
  <c r="J381" i="1" s="1"/>
  <c r="M378" i="1"/>
  <c r="M54" i="1"/>
  <c r="O354" i="1"/>
  <c r="O356" i="1" s="1"/>
  <c r="J31" i="1"/>
  <c r="J38" i="1" s="1"/>
  <c r="M35" i="1" s="1"/>
  <c r="J126" i="1"/>
  <c r="J133" i="1" s="1"/>
  <c r="M130" i="1" s="1"/>
  <c r="J69" i="1"/>
  <c r="J76" i="1" s="1"/>
  <c r="M73" i="1" s="1"/>
  <c r="F210" i="1"/>
  <c r="M207" i="1" s="1"/>
  <c r="O106" i="1"/>
  <c r="O108" i="1" s="1"/>
  <c r="J108" i="1" s="1"/>
  <c r="J114" i="1" s="1"/>
  <c r="J164" i="1"/>
  <c r="J171" i="1" s="1"/>
  <c r="M111" i="1" l="1"/>
</calcChain>
</file>

<file path=xl/sharedStrings.xml><?xml version="1.0" encoding="utf-8"?>
<sst xmlns="http://schemas.openxmlformats.org/spreadsheetml/2006/main" count="596" uniqueCount="84">
  <si>
    <t>บริษัท อินฟินิท เบรน จำกัด (สำนักงานใหญ่)</t>
  </si>
  <si>
    <t>555/9 ม.1 ต.บางขนุน อ.บางกรวย จ.นนทบุรี 11130</t>
  </si>
  <si>
    <t>เลขประจำตัวผู้เสียภาษี : 0125563031038</t>
  </si>
  <si>
    <t>ใบจ่ายเงินเดือน/ค่าจ้าง/เงินประจำตำแหน่ง</t>
  </si>
  <si>
    <t>รหัส</t>
  </si>
  <si>
    <t>ขื่อ-นามสกุล</t>
  </si>
  <si>
    <t>นายมานะ อินทราภรณ์</t>
  </si>
  <si>
    <t>ตำแหน่ง</t>
  </si>
  <si>
    <t>ผู้จัดการ</t>
  </si>
  <si>
    <t>บัญชีธนาคาร</t>
  </si>
  <si>
    <t>KB 754 207 0530</t>
  </si>
  <si>
    <t xml:space="preserve"> </t>
  </si>
  <si>
    <t>รายได้</t>
  </si>
  <si>
    <t>จำนวน</t>
  </si>
  <si>
    <t>จำนวนเงิน</t>
  </si>
  <si>
    <t>รายการหัก</t>
  </si>
  <si>
    <t>วันที่จ่าย</t>
  </si>
  <si>
    <t xml:space="preserve">  เงินเดือน</t>
  </si>
  <si>
    <t xml:space="preserve"> ประกันสังคม</t>
  </si>
  <si>
    <t>31 มกราคม 2569</t>
  </si>
  <si>
    <t xml:space="preserve">  คอมมิสชั่น</t>
  </si>
  <si>
    <t>x 3%</t>
  </si>
  <si>
    <t xml:space="preserve"> ภาษีรายได้ประจำปี</t>
  </si>
  <si>
    <t>เงินรับสุทธิ</t>
  </si>
  <si>
    <t>รวมเงินได้</t>
  </si>
  <si>
    <t>รวมรายการหัก</t>
  </si>
  <si>
    <t>ผู้รับ</t>
  </si>
  <si>
    <t>นางสาวมอม เบริน</t>
  </si>
  <si>
    <t>ผู้ช่วยครู</t>
  </si>
  <si>
    <t>KB 027 896 4876</t>
  </si>
  <si>
    <t>เงินเดือน</t>
  </si>
  <si>
    <t>นาทีละ</t>
  </si>
  <si>
    <t>นายวิศรุต คงสังข์</t>
  </si>
  <si>
    <t>ครูผู้ช่วยสอน</t>
  </si>
  <si>
    <t>KB 149 346 0613</t>
  </si>
  <si>
    <t>บาท/ชั่วโมง</t>
  </si>
  <si>
    <t>ชั่วโมง</t>
  </si>
  <si>
    <t xml:space="preserve">  สอนพิเศษ เลข</t>
  </si>
  <si>
    <t xml:space="preserve"> ภาษี ณ ที่จ่าย </t>
  </si>
  <si>
    <t xml:space="preserve">  สอนพิเศษ วิทย์</t>
  </si>
  <si>
    <t>นางสาววันวิสาข์ โสภา</t>
  </si>
  <si>
    <t>KB 050 327 2873</t>
  </si>
  <si>
    <t>บาท/วัน</t>
  </si>
  <si>
    <t>วัน</t>
  </si>
  <si>
    <t>นายไอศูรย์ คงสำรวย</t>
  </si>
  <si>
    <t>พนักงานขับรถ</t>
  </si>
  <si>
    <t>นายเทวราช รักงาม</t>
  </si>
  <si>
    <t>โปรแกรมเมอร์</t>
  </si>
  <si>
    <t>KB 026 384 5285</t>
  </si>
  <si>
    <t>วันละ</t>
  </si>
  <si>
    <t xml:space="preserve"> หักเข้าเงินสำรองฯ</t>
  </si>
  <si>
    <t>นางสาวอรอินทรา เต็งประวัติ</t>
  </si>
  <si>
    <t>บัญชี</t>
  </si>
  <si>
    <t>KB 754 206 8048</t>
  </si>
  <si>
    <t>นางสาวชัชฎา สิริธนกุล</t>
  </si>
  <si>
    <t>ธุรการ</t>
  </si>
  <si>
    <t>Mr.Nay Min Thet</t>
  </si>
  <si>
    <t>KB 189 137 5901</t>
  </si>
  <si>
    <t>นางสาวประเพ็ญพร นิวงษา</t>
  </si>
  <si>
    <t>นางสาวแพรวา สนิท</t>
  </si>
  <si>
    <t>KB 160 159 3390</t>
  </si>
  <si>
    <t>นายกฤษดา ศรีเบญจรัตน์</t>
  </si>
  <si>
    <t>ครูผู้สอน</t>
  </si>
  <si>
    <t>KB 157 169 6742</t>
  </si>
  <si>
    <t>Ms.Yanglin</t>
  </si>
  <si>
    <t>ผู้ช่วยสอน</t>
  </si>
  <si>
    <t>SCB 419 165 8841</t>
  </si>
  <si>
    <t>นายนภัส แก้วใสทับ</t>
  </si>
  <si>
    <t>KB 006 133 1247</t>
  </si>
  <si>
    <t>นายจืรทีปต์ ล้ำวาสนา</t>
  </si>
  <si>
    <t>KB 011 290 4190</t>
  </si>
  <si>
    <t>นายนพดล ชัยปินตา</t>
  </si>
  <si>
    <t>KB 210 847 3994</t>
  </si>
  <si>
    <t>นางสาวธัณณ์ทินันท์ วชิรพงศ์</t>
  </si>
  <si>
    <t>KB 029 824 6848</t>
  </si>
  <si>
    <t>Mr.Liu Daicheng</t>
  </si>
  <si>
    <t>KB 127 397 8476</t>
  </si>
  <si>
    <t>นางสาวณัฐธยาน์ โอฬารเลิศกุล</t>
  </si>
  <si>
    <t>KB 751 253 4494</t>
  </si>
  <si>
    <t>Mr.Ma Ziming</t>
  </si>
  <si>
    <t>BBl 152 502 2420</t>
  </si>
  <si>
    <t xml:space="preserve">  ทดลองเรียน</t>
  </si>
  <si>
    <t>นางสาวสุวิมล เยาว์วรรณศิริ</t>
  </si>
  <si>
    <t>KB 054 167 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</si>
</sst>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1E]d\ mmmm\ yyyy;@"/>
    <numFmt numFmtId="165" formatCode="[$-F800]dddd\,\ mmmm\ dd\,\ yyyy"/>
  </numFmts>
  <fonts count="28">
    <font>
      <sz val="11"/>
      <color theme="1"/>
      <name val="Calibri"/>
      <family val="2"/>
      <scheme val="minor"/>
    </font>
    <font>
      <sz val="11"/>
      <color theme="1"/>
      <name val="Bahnschrift Light SemiCondensed"/>
      <family val="2"/>
    </font>
    <font>
      <sz val="9"/>
      <color theme="1"/>
      <name val="Bahnschrift Light SemiCondensed"/>
      <family val="2"/>
    </font>
    <font>
      <sz val="16"/>
      <name val="Angsana New"/>
      <family val="1"/>
    </font>
    <font>
      <sz val="10"/>
      <color theme="0" tint="-0.499984740745262"/>
      <name val="Leelawadee UI Semilight"/>
      <family val="2"/>
    </font>
    <font>
      <sz val="10"/>
      <color rgb="FF0070C0"/>
      <name val="Leelawadee UI Semilight"/>
      <family val="2"/>
    </font>
    <font>
      <sz val="10"/>
      <color theme="1"/>
      <name val="Leelawadee UI Semilight"/>
      <family val="2"/>
    </font>
    <font>
      <sz val="11"/>
      <color theme="0"/>
      <name val="Calibri"/>
      <family val="2"/>
      <charset val="222"/>
      <scheme val="minor"/>
    </font>
    <font>
      <sz val="10"/>
      <color theme="1" tint="0.499984740745262"/>
      <name val="Leelawadee UI Semilight"/>
      <family val="2"/>
    </font>
    <font>
      <sz val="10"/>
      <name val="Leelawadee UI Semilight"/>
      <family val="2"/>
    </font>
    <font>
      <sz val="9"/>
      <color rgb="FF0070C0"/>
      <name val="Leelawadee UI Semilight"/>
      <family val="2"/>
    </font>
    <font>
      <sz val="10"/>
      <color theme="4" tint="-0.249977111117893"/>
      <name val="Leelawadee UI Semilight"/>
      <family val="2"/>
    </font>
    <font>
      <sz val="10"/>
      <color theme="4"/>
      <name val="Leelawadee UI Semilight"/>
      <family val="2"/>
    </font>
    <font>
      <b/>
      <sz val="11"/>
      <color rgb="FF0070C0"/>
      <name val="Leelawadee UI Semilight"/>
      <family val="2"/>
    </font>
    <font>
      <sz val="12"/>
      <color rgb="FF92D050"/>
      <name val="Bahnschrift Light SemiCondensed"/>
      <family val="2"/>
    </font>
    <font>
      <sz val="11"/>
      <color theme="0" tint="-4.9989318521683403E-2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0"/>
      <color theme="8" tint="-0.249977111117893"/>
      <name val="Leelawadee UI Semilight"/>
      <family val="2"/>
    </font>
    <font>
      <sz val="10"/>
      <color rgb="FFFF0000"/>
      <name val="Leelawadee UI Semilight"/>
      <family val="2"/>
    </font>
    <font>
      <sz val="10"/>
      <color rgb="FFED0000"/>
      <name val="Leelawadee UI Semilight"/>
      <family val="2"/>
    </font>
    <font>
      <sz val="11"/>
      <color rgb="FF0070C0"/>
      <name val="Calibri"/>
      <family val="2"/>
      <charset val="222"/>
      <scheme val="minor"/>
    </font>
    <font>
      <sz val="9"/>
      <color theme="0" tint="-0.499984740745262"/>
      <name val="Leelawadee UI Semilight"/>
      <family val="2"/>
    </font>
    <font>
      <sz val="16"/>
      <color theme="0" tint="-0.499984740745262"/>
      <name val="Angsana New"/>
      <family val="1"/>
      <charset val="222"/>
    </font>
    <font>
      <sz val="10"/>
      <color theme="0" tint="-0.499984740745262"/>
      <name val="Leelawadee UI Semilight"/>
      <family val="2"/>
      <charset val="222"/>
    </font>
    <font>
      <sz val="11"/>
      <color theme="8" tint="-0.249977111117893"/>
      <name val="Bahnschrift Light SemiCondensed"/>
      <family val="2"/>
    </font>
    <font>
      <sz val="11"/>
      <name val="Bahnschrift Light SemiCondensed"/>
      <family val="2"/>
    </font>
    <font>
      <sz val="11"/>
      <color theme="8" tint="-0.249977111117893"/>
      <name val="Bahnschrift Light Condensed"/>
      <family val="2"/>
    </font>
    <font>
      <sz val="11"/>
      <color rgb="FFED0000"/>
      <name val="Bahnschrift Light 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92D05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92D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6" fillId="0" borderId="0" xfId="0" applyFont="1"/>
    <xf numFmtId="0" fontId="5" fillId="2" borderId="0" xfId="0" applyFont="1" applyFill="1"/>
    <xf numFmtId="0" fontId="7" fillId="3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/>
    <xf numFmtId="4" fontId="5" fillId="2" borderId="2" xfId="0" applyNumberFormat="1" applyFont="1" applyFill="1" applyBorder="1"/>
    <xf numFmtId="3" fontId="6" fillId="2" borderId="3" xfId="0" applyNumberFormat="1" applyFont="1" applyFill="1" applyBorder="1" applyAlignment="1">
      <alignment horizontal="right"/>
    </xf>
    <xf numFmtId="10" fontId="5" fillId="2" borderId="2" xfId="0" applyNumberFormat="1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right"/>
    </xf>
    <xf numFmtId="3" fontId="6" fillId="2" borderId="0" xfId="0" applyNumberFormat="1" applyFont="1" applyFill="1" applyAlignment="1">
      <alignment horizontal="right"/>
    </xf>
    <xf numFmtId="49" fontId="10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5" fillId="2" borderId="10" xfId="0" applyFont="1" applyFill="1" applyBorder="1" applyAlignment="1">
      <alignment horizontal="left"/>
    </xf>
    <xf numFmtId="3" fontId="10" fillId="2" borderId="0" xfId="0" applyNumberFormat="1" applyFont="1" applyFill="1"/>
    <xf numFmtId="4" fontId="10" fillId="2" borderId="0" xfId="0" applyNumberFormat="1" applyFont="1" applyFill="1"/>
    <xf numFmtId="3" fontId="6" fillId="2" borderId="11" xfId="0" applyNumberFormat="1" applyFont="1" applyFill="1" applyBorder="1" applyAlignment="1">
      <alignment horizontal="right"/>
    </xf>
    <xf numFmtId="0" fontId="11" fillId="2" borderId="0" xfId="0" applyFont="1" applyFill="1" applyAlignment="1">
      <alignment horizontal="center"/>
    </xf>
    <xf numFmtId="4" fontId="5" fillId="2" borderId="0" xfId="0" applyNumberFormat="1" applyFont="1" applyFill="1" applyAlignment="1">
      <alignment horizontal="right"/>
    </xf>
    <xf numFmtId="3" fontId="6" fillId="2" borderId="11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" fontId="6" fillId="2" borderId="0" xfId="0" applyNumberFormat="1" applyFont="1" applyFill="1" applyAlignment="1">
      <alignment horizontal="center"/>
    </xf>
    <xf numFmtId="0" fontId="12" fillId="2" borderId="0" xfId="0" applyFont="1" applyFill="1"/>
    <xf numFmtId="4" fontId="12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4" fontId="5" fillId="2" borderId="0" xfId="0" applyNumberFormat="1" applyFont="1" applyFill="1"/>
    <xf numFmtId="4" fontId="13" fillId="0" borderId="0" xfId="0" applyNumberFormat="1" applyFont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4" fillId="2" borderId="5" xfId="0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/>
    </xf>
    <xf numFmtId="3" fontId="6" fillId="2" borderId="7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/>
    <xf numFmtId="0" fontId="6" fillId="2" borderId="2" xfId="0" applyFont="1" applyFill="1" applyBorder="1"/>
    <xf numFmtId="0" fontId="6" fillId="0" borderId="2" xfId="0" applyFont="1" applyBorder="1"/>
    <xf numFmtId="0" fontId="0" fillId="0" borderId="2" xfId="0" applyBorder="1"/>
    <xf numFmtId="3" fontId="6" fillId="2" borderId="3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4" fontId="11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7" fillId="3" borderId="15" xfId="0" applyFont="1" applyFill="1" applyBorder="1" applyAlignment="1">
      <alignment horizontal="left"/>
    </xf>
    <xf numFmtId="0" fontId="0" fillId="0" borderId="16" xfId="0" applyBorder="1"/>
    <xf numFmtId="0" fontId="15" fillId="3" borderId="16" xfId="0" applyFont="1" applyFill="1" applyBorder="1" applyAlignment="1">
      <alignment horizontal="center"/>
    </xf>
    <xf numFmtId="4" fontId="16" fillId="0" borderId="16" xfId="0" applyNumberFormat="1" applyFont="1" applyBorder="1" applyAlignment="1">
      <alignment horizontal="center"/>
    </xf>
    <xf numFmtId="4" fontId="17" fillId="2" borderId="2" xfId="0" applyNumberFormat="1" applyFont="1" applyFill="1" applyBorder="1"/>
    <xf numFmtId="0" fontId="5" fillId="2" borderId="1" xfId="0" applyFont="1" applyFill="1" applyBorder="1"/>
    <xf numFmtId="165" fontId="10" fillId="2" borderId="9" xfId="0" applyNumberFormat="1" applyFont="1" applyFill="1" applyBorder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11" fillId="2" borderId="0" xfId="0" applyFont="1" applyFill="1"/>
    <xf numFmtId="0" fontId="18" fillId="2" borderId="0" xfId="0" applyFont="1" applyFill="1"/>
    <xf numFmtId="4" fontId="18" fillId="2" borderId="0" xfId="0" applyNumberFormat="1" applyFont="1" applyFill="1"/>
    <xf numFmtId="0" fontId="11" fillId="2" borderId="10" xfId="0" applyFont="1" applyFill="1" applyBorder="1" applyAlignment="1">
      <alignment horizontal="center"/>
    </xf>
    <xf numFmtId="4" fontId="11" fillId="2" borderId="0" xfId="0" applyNumberFormat="1" applyFont="1" applyFill="1" applyAlignment="1">
      <alignment horizontal="center"/>
    </xf>
    <xf numFmtId="4" fontId="16" fillId="0" borderId="17" xfId="0" applyNumberFormat="1" applyFont="1" applyBorder="1" applyAlignment="1">
      <alignment horizontal="center"/>
    </xf>
    <xf numFmtId="3" fontId="11" fillId="2" borderId="0" xfId="0" applyNumberFormat="1" applyFont="1" applyFill="1"/>
    <xf numFmtId="0" fontId="0" fillId="0" borderId="18" xfId="0" applyBorder="1" applyAlignment="1">
      <alignment horizontal="center"/>
    </xf>
    <xf numFmtId="4" fontId="5" fillId="2" borderId="2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" fontId="17" fillId="2" borderId="0" xfId="0" applyNumberFormat="1" applyFont="1" applyFill="1"/>
    <xf numFmtId="10" fontId="5" fillId="2" borderId="2" xfId="0" applyNumberFormat="1" applyFont="1" applyFill="1" applyBorder="1" applyAlignment="1">
      <alignment horizontal="right"/>
    </xf>
    <xf numFmtId="0" fontId="16" fillId="2" borderId="0" xfId="0" applyFont="1" applyFill="1"/>
    <xf numFmtId="4" fontId="19" fillId="2" borderId="0" xfId="0" applyNumberFormat="1" applyFont="1" applyFill="1"/>
    <xf numFmtId="0" fontId="17" fillId="2" borderId="0" xfId="0" applyFont="1" applyFill="1"/>
    <xf numFmtId="3" fontId="5" fillId="2" borderId="0" xfId="0" applyNumberFormat="1" applyFont="1" applyFill="1"/>
    <xf numFmtId="0" fontId="0" fillId="2" borderId="0" xfId="0" applyFill="1"/>
    <xf numFmtId="0" fontId="5" fillId="2" borderId="6" xfId="0" applyFont="1" applyFill="1" applyBorder="1"/>
    <xf numFmtId="4" fontId="5" fillId="2" borderId="6" xfId="0" applyNumberFormat="1" applyFont="1" applyFill="1" applyBorder="1" applyAlignment="1">
      <alignment horizontal="right"/>
    </xf>
    <xf numFmtId="0" fontId="18" fillId="2" borderId="2" xfId="0" applyFont="1" applyFill="1" applyBorder="1"/>
    <xf numFmtId="4" fontId="17" fillId="2" borderId="2" xfId="0" applyNumberFormat="1" applyFont="1" applyFill="1" applyBorder="1" applyAlignment="1">
      <alignment horizontal="right"/>
    </xf>
    <xf numFmtId="0" fontId="20" fillId="2" borderId="0" xfId="0" applyFont="1" applyFill="1"/>
    <xf numFmtId="3" fontId="17" fillId="2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center"/>
    </xf>
    <xf numFmtId="4" fontId="17" fillId="2" borderId="0" xfId="0" applyNumberFormat="1" applyFont="1" applyFill="1" applyAlignment="1">
      <alignment horizontal="right"/>
    </xf>
    <xf numFmtId="0" fontId="10" fillId="2" borderId="10" xfId="0" applyFont="1" applyFill="1" applyBorder="1"/>
    <xf numFmtId="0" fontId="17" fillId="2" borderId="0" xfId="0" applyFont="1" applyFill="1" applyAlignment="1">
      <alignment horizontal="right"/>
    </xf>
    <xf numFmtId="0" fontId="5" fillId="2" borderId="10" xfId="0" applyFont="1" applyFill="1" applyBorder="1"/>
    <xf numFmtId="0" fontId="17" fillId="2" borderId="10" xfId="0" applyFont="1" applyFill="1" applyBorder="1" applyAlignment="1">
      <alignment horizontal="left"/>
    </xf>
    <xf numFmtId="4" fontId="11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4" fontId="6" fillId="2" borderId="0" xfId="0" applyNumberFormat="1" applyFont="1" applyFill="1" applyAlignment="1">
      <alignment horizontal="right"/>
    </xf>
    <xf numFmtId="4" fontId="6" fillId="2" borderId="6" xfId="0" applyNumberFormat="1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9" fontId="17" fillId="2" borderId="0" xfId="0" applyNumberFormat="1" applyFont="1" applyFill="1" applyAlignment="1">
      <alignment horizontal="center"/>
    </xf>
    <xf numFmtId="4" fontId="18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right"/>
    </xf>
    <xf numFmtId="49" fontId="18" fillId="2" borderId="0" xfId="0" applyNumberFormat="1" applyFont="1" applyFill="1" applyAlignment="1">
      <alignment horizontal="center"/>
    </xf>
    <xf numFmtId="0" fontId="11" fillId="2" borderId="10" xfId="0" applyFont="1" applyFill="1" applyBorder="1" applyAlignment="1">
      <alignment horizontal="left"/>
    </xf>
    <xf numFmtId="4" fontId="16" fillId="0" borderId="18" xfId="0" applyNumberFormat="1" applyFont="1" applyBorder="1" applyAlignment="1">
      <alignment horizontal="center"/>
    </xf>
    <xf numFmtId="0" fontId="11" fillId="2" borderId="2" xfId="0" applyFont="1" applyFill="1" applyBorder="1"/>
    <xf numFmtId="0" fontId="21" fillId="2" borderId="0" xfId="0" applyFont="1" applyFill="1" applyAlignment="1">
      <alignment horizontal="center" vertical="center"/>
    </xf>
    <xf numFmtId="4" fontId="11" fillId="2" borderId="0" xfId="0" applyNumberFormat="1" applyFont="1" applyFill="1"/>
    <xf numFmtId="4" fontId="11" fillId="2" borderId="2" xfId="0" applyNumberFormat="1" applyFont="1" applyFill="1" applyBorder="1" applyAlignment="1">
      <alignment vertical="center"/>
    </xf>
    <xf numFmtId="4" fontId="11" fillId="2" borderId="6" xfId="0" applyNumberFormat="1" applyFont="1" applyFill="1" applyBorder="1" applyAlignment="1">
      <alignment vertical="center"/>
    </xf>
    <xf numFmtId="4" fontId="11" fillId="2" borderId="0" xfId="0" applyNumberFormat="1" applyFont="1" applyFill="1" applyAlignment="1">
      <alignment vertical="center"/>
    </xf>
    <xf numFmtId="4" fontId="5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top"/>
    </xf>
    <xf numFmtId="0" fontId="23" fillId="2" borderId="0" xfId="0" applyFont="1" applyFill="1" applyAlignment="1">
      <alignment horizontal="right"/>
    </xf>
    <xf numFmtId="0" fontId="10" fillId="2" borderId="0" xfId="0" applyFont="1" applyFill="1"/>
    <xf numFmtId="0" fontId="20" fillId="0" borderId="0" xfId="0" applyFont="1"/>
    <xf numFmtId="0" fontId="24" fillId="2" borderId="0" xfId="0" applyFont="1" applyFill="1" applyAlignment="1">
      <alignment vertical="center"/>
    </xf>
    <xf numFmtId="0" fontId="17" fillId="2" borderId="10" xfId="0" applyFont="1" applyFill="1" applyBorder="1"/>
    <xf numFmtId="0" fontId="25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/>
    </xf>
    <xf numFmtId="3" fontId="5" fillId="2" borderId="3" xfId="0" applyNumberFormat="1" applyFont="1" applyFill="1" applyBorder="1" applyAlignment="1">
      <alignment horizontal="right"/>
    </xf>
    <xf numFmtId="3" fontId="17" fillId="2" borderId="0" xfId="0" applyNumberFormat="1" applyFont="1" applyFill="1"/>
    <xf numFmtId="0" fontId="5" fillId="2" borderId="0" xfId="0" applyFont="1" applyFill="1" applyAlignment="1">
      <alignment horizontal="right"/>
    </xf>
    <xf numFmtId="0" fontId="17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right"/>
    </xf>
    <xf numFmtId="4" fontId="18" fillId="2" borderId="0" xfId="0" applyNumberFormat="1" applyFont="1" applyFill="1" applyAlignment="1">
      <alignment horizontal="right"/>
    </xf>
    <xf numFmtId="0" fontId="26" fillId="2" borderId="0" xfId="0" applyFont="1" applyFill="1" applyAlignment="1">
      <alignment horizontal="left"/>
    </xf>
    <xf numFmtId="0" fontId="17" fillId="2" borderId="0" xfId="0" applyFont="1" applyFill="1" applyAlignment="1">
      <alignment vertical="center"/>
    </xf>
    <xf numFmtId="3" fontId="19" fillId="2" borderId="0" xfId="0" applyNumberFormat="1" applyFont="1" applyFill="1" applyAlignment="1">
      <alignment horizontal="center"/>
    </xf>
    <xf numFmtId="4" fontId="19" fillId="2" borderId="0" xfId="0" applyNumberFormat="1" applyFont="1" applyFill="1" applyAlignment="1">
      <alignment horizontal="right"/>
    </xf>
    <xf numFmtId="0" fontId="25" fillId="0" borderId="0" xfId="0" applyFont="1" applyAlignment="1">
      <alignment horizontal="left"/>
    </xf>
    <xf numFmtId="0" fontId="27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2" fillId="2" borderId="10" xfId="0" applyFont="1" applyFill="1" applyBorder="1" applyAlignment="1">
      <alignment horizontal="center"/>
    </xf>
    <xf numFmtId="0" fontId="27" fillId="2" borderId="0" xfId="0" applyFont="1" applyFill="1"/>
    <xf numFmtId="0" fontId="5" fillId="2" borderId="10" xfId="0" applyFont="1" applyFill="1" applyBorder="1"/>
    <xf numFmtId="0" fontId="5" fillId="2" borderId="0" xfId="0" applyFont="1" applyFill="1"/>
    <xf numFmtId="4" fontId="13" fillId="0" borderId="12" xfId="0" applyNumberFormat="1" applyFont="1" applyBorder="1" applyAlignment="1">
      <alignment horizontal="center" vertical="center"/>
    </xf>
    <xf numFmtId="4" fontId="13" fillId="0" borderId="13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4" fontId="5" fillId="2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11" fillId="2" borderId="10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10" fillId="2" borderId="10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5550" cy="1076229"/>
    <xdr:pic>
      <xdr:nvPicPr>
        <xdr:cNvPr id="2" name="Picture 1">
          <a:extLst>
            <a:ext uri="{FF2B5EF4-FFF2-40B4-BE49-F238E27FC236}">
              <a16:creationId xmlns:a16="http://schemas.microsoft.com/office/drawing/2014/main" id="{0B76EB7A-E5F5-4FD8-9762-A53FAE9A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225550" cy="1076229"/>
    <xdr:pic>
      <xdr:nvPicPr>
        <xdr:cNvPr id="3" name="Picture 1">
          <a:extLst>
            <a:ext uri="{FF2B5EF4-FFF2-40B4-BE49-F238E27FC236}">
              <a16:creationId xmlns:a16="http://schemas.microsoft.com/office/drawing/2014/main" id="{9C334FFF-0827-4D8D-9B35-70C8C6661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225550" cy="1076229"/>
    <xdr:pic>
      <xdr:nvPicPr>
        <xdr:cNvPr id="4" name="Picture 1">
          <a:extLst>
            <a:ext uri="{FF2B5EF4-FFF2-40B4-BE49-F238E27FC236}">
              <a16:creationId xmlns:a16="http://schemas.microsoft.com/office/drawing/2014/main" id="{932DA502-C0E5-492C-8585-51C08E12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199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225550" cy="1076229"/>
    <xdr:pic>
      <xdr:nvPicPr>
        <xdr:cNvPr id="5" name="Picture 1">
          <a:extLst>
            <a:ext uri="{FF2B5EF4-FFF2-40B4-BE49-F238E27FC236}">
              <a16:creationId xmlns:a16="http://schemas.microsoft.com/office/drawing/2014/main" id="{6C5EC75A-3E27-4C6B-81BB-23E16606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775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1225550" cy="1076229"/>
    <xdr:pic>
      <xdr:nvPicPr>
        <xdr:cNvPr id="6" name="Picture 1">
          <a:extLst>
            <a:ext uri="{FF2B5EF4-FFF2-40B4-BE49-F238E27FC236}">
              <a16:creationId xmlns:a16="http://schemas.microsoft.com/office/drawing/2014/main" id="{8C3DADE9-0833-4125-9612-B34879DD7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7351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1225550" cy="1076229"/>
    <xdr:pic>
      <xdr:nvPicPr>
        <xdr:cNvPr id="7" name="Picture 1">
          <a:extLst>
            <a:ext uri="{FF2B5EF4-FFF2-40B4-BE49-F238E27FC236}">
              <a16:creationId xmlns:a16="http://schemas.microsoft.com/office/drawing/2014/main" id="{5A0A16D0-ABEE-477F-B17C-8943F01C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927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1225550" cy="1076229"/>
    <xdr:pic>
      <xdr:nvPicPr>
        <xdr:cNvPr id="8" name="Picture 1">
          <a:extLst>
            <a:ext uri="{FF2B5EF4-FFF2-40B4-BE49-F238E27FC236}">
              <a16:creationId xmlns:a16="http://schemas.microsoft.com/office/drawing/2014/main" id="{3847B54E-D74F-4A17-A900-33BA39966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06942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1225550" cy="1076229"/>
    <xdr:pic>
      <xdr:nvPicPr>
        <xdr:cNvPr id="9" name="Picture 1">
          <a:extLst>
            <a:ext uri="{FF2B5EF4-FFF2-40B4-BE49-F238E27FC236}">
              <a16:creationId xmlns:a16="http://schemas.microsoft.com/office/drawing/2014/main" id="{9F21964C-154D-425D-BC46-F61C6C4D1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7460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1225550" cy="1076229"/>
    <xdr:pic>
      <xdr:nvPicPr>
        <xdr:cNvPr id="10" name="Picture 1">
          <a:extLst>
            <a:ext uri="{FF2B5EF4-FFF2-40B4-BE49-F238E27FC236}">
              <a16:creationId xmlns:a16="http://schemas.microsoft.com/office/drawing/2014/main" id="{D3D21B5B-A600-4D89-A11B-B3712500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42272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19050</xdr:rowOff>
    </xdr:from>
    <xdr:ext cx="1225550" cy="1076229"/>
    <xdr:pic>
      <xdr:nvPicPr>
        <xdr:cNvPr id="11" name="Picture 1">
          <a:extLst>
            <a:ext uri="{FF2B5EF4-FFF2-40B4-BE49-F238E27FC236}">
              <a16:creationId xmlns:a16="http://schemas.microsoft.com/office/drawing/2014/main" id="{8BC3256D-4878-48DC-A71E-2017FFA8F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9946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1225550" cy="1076229"/>
    <xdr:pic>
      <xdr:nvPicPr>
        <xdr:cNvPr id="12" name="Picture 1">
          <a:extLst>
            <a:ext uri="{FF2B5EF4-FFF2-40B4-BE49-F238E27FC236}">
              <a16:creationId xmlns:a16="http://schemas.microsoft.com/office/drawing/2014/main" id="{04902211-55A9-4DC0-9957-51B3028F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0935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1225550" cy="1076229"/>
    <xdr:pic>
      <xdr:nvPicPr>
        <xdr:cNvPr id="13" name="Picture 1">
          <a:extLst>
            <a:ext uri="{FF2B5EF4-FFF2-40B4-BE49-F238E27FC236}">
              <a16:creationId xmlns:a16="http://schemas.microsoft.com/office/drawing/2014/main" id="{7B0FD956-3FDB-43E6-A4C7-C42374A63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3383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1225550" cy="1076229"/>
    <xdr:pic>
      <xdr:nvPicPr>
        <xdr:cNvPr id="14" name="Picture 1">
          <a:extLst>
            <a:ext uri="{FF2B5EF4-FFF2-40B4-BE49-F238E27FC236}">
              <a16:creationId xmlns:a16="http://schemas.microsoft.com/office/drawing/2014/main" id="{F2C0BC7F-F3ED-44DC-9FA4-E3B8BAC0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0055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1225550" cy="1076229"/>
    <xdr:pic>
      <xdr:nvPicPr>
        <xdr:cNvPr id="15" name="Picture 1">
          <a:extLst>
            <a:ext uri="{FF2B5EF4-FFF2-40B4-BE49-F238E27FC236}">
              <a16:creationId xmlns:a16="http://schemas.microsoft.com/office/drawing/2014/main" id="{481691A5-F164-4B49-9C42-76AC8FEC6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535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1225550" cy="1076229"/>
    <xdr:pic>
      <xdr:nvPicPr>
        <xdr:cNvPr id="16" name="Picture 1">
          <a:extLst>
            <a:ext uri="{FF2B5EF4-FFF2-40B4-BE49-F238E27FC236}">
              <a16:creationId xmlns:a16="http://schemas.microsoft.com/office/drawing/2014/main" id="{8F23A14A-3107-47EF-99C3-D4B0A4E83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30165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1225550" cy="1076229"/>
    <xdr:pic>
      <xdr:nvPicPr>
        <xdr:cNvPr id="17" name="Picture 1">
          <a:extLst>
            <a:ext uri="{FF2B5EF4-FFF2-40B4-BE49-F238E27FC236}">
              <a16:creationId xmlns:a16="http://schemas.microsoft.com/office/drawing/2014/main" id="{49A3900D-97DC-4738-89D2-71DCB9BA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9402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1225550" cy="1076229"/>
    <xdr:pic>
      <xdr:nvPicPr>
        <xdr:cNvPr id="18" name="Picture 1">
          <a:extLst>
            <a:ext uri="{FF2B5EF4-FFF2-40B4-BE49-F238E27FC236}">
              <a16:creationId xmlns:a16="http://schemas.microsoft.com/office/drawing/2014/main" id="{D16D7598-A51C-470F-9C6C-2B8FE17F5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6644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1225550" cy="1076229"/>
    <xdr:pic>
      <xdr:nvPicPr>
        <xdr:cNvPr id="19" name="Picture 1">
          <a:extLst>
            <a:ext uri="{FF2B5EF4-FFF2-40B4-BE49-F238E27FC236}">
              <a16:creationId xmlns:a16="http://schemas.microsoft.com/office/drawing/2014/main" id="{028BE170-48AF-4A91-9992-BC9CBF92F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8397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344</xdr:row>
      <xdr:rowOff>0</xdr:rowOff>
    </xdr:from>
    <xdr:ext cx="1225550" cy="1076229"/>
    <xdr:pic>
      <xdr:nvPicPr>
        <xdr:cNvPr id="20" name="Picture 1">
          <a:extLst>
            <a:ext uri="{FF2B5EF4-FFF2-40B4-BE49-F238E27FC236}">
              <a16:creationId xmlns:a16="http://schemas.microsoft.com/office/drawing/2014/main" id="{0B7CFAED-3988-475A-81FB-75F5F1430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998725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1225550" cy="1076229"/>
    <xdr:pic>
      <xdr:nvPicPr>
        <xdr:cNvPr id="21" name="Picture 1">
          <a:extLst>
            <a:ext uri="{FF2B5EF4-FFF2-40B4-BE49-F238E27FC236}">
              <a16:creationId xmlns:a16="http://schemas.microsoft.com/office/drawing/2014/main" id="{96E0D035-CCBE-438C-9AFC-C37830280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608700"/>
          <a:ext cx="1225550" cy="107622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1225550" cy="1076229"/>
    <xdr:pic>
      <xdr:nvPicPr>
        <xdr:cNvPr id="22" name="Picture 1">
          <a:extLst>
            <a:ext uri="{FF2B5EF4-FFF2-40B4-BE49-F238E27FC236}">
              <a16:creationId xmlns:a16="http://schemas.microsoft.com/office/drawing/2014/main" id="{CFFF41DD-5707-40D8-8587-DD3D80AF8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218675"/>
          <a:ext cx="1225550" cy="10762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OneDrive\INFINITEBRAIN\INFINITEBRAIN\&#3648;&#3591;&#3636;&#3609;&#3648;&#3604;&#3639;&#3629;&#3609;&#3611;&#3637;68.xlsx" TargetMode="External"/><Relationship Id="rId1" Type="http://schemas.openxmlformats.org/officeDocument/2006/relationships/externalLinkPath" Target="/Users/acer/OneDrive/INFINITEBRAIN/INFINITEBRAIN/&#3648;&#3591;&#3636;&#3609;&#3648;&#3604;&#3639;&#3629;&#3609;&#3611;&#3637;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อินฟินิท เบรน68"/>
      <sheetName val="ธค68"/>
      <sheetName val="พย68"/>
      <sheetName val="ตค68"/>
      <sheetName val="กย68"/>
      <sheetName val="สค68"/>
      <sheetName val="กค68"/>
      <sheetName val="มิย68"/>
      <sheetName val="พค68"/>
      <sheetName val="เมย68"/>
      <sheetName val="มีค68"/>
      <sheetName val="กพ68"/>
      <sheetName val="มค68"/>
      <sheetName val="ประวัติ"/>
    </sheetNames>
    <sheetDataSet>
      <sheetData sheetId="0">
        <row r="76">
          <cell r="F76">
            <v>12500</v>
          </cell>
        </row>
        <row r="81">
          <cell r="F81">
            <v>25000</v>
          </cell>
        </row>
        <row r="82">
          <cell r="F82">
            <v>20000</v>
          </cell>
        </row>
        <row r="89">
          <cell r="F89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tabSelected="1" workbookViewId="0">
      <selection activeCell="A5" sqref="A5:M5"/>
    </sheetView>
  </sheetViews>
  <sheetFormatPr defaultRowHeight="15"/>
  <cols>
    <col min="1" max="1" width="3.140625" customWidth="1"/>
    <col min="2" max="2" width="8.140625" customWidth="1"/>
    <col min="3" max="3" width="6.140625" customWidth="1"/>
    <col min="4" max="4" width="10.140625" customWidth="1"/>
    <col min="5" max="5" width="8.42578125" customWidth="1"/>
    <col min="7" max="7" width="0.7109375" customWidth="1"/>
    <col min="8" max="8" width="10.5703125" customWidth="1"/>
    <col min="9" max="9" width="9.28515625" customWidth="1"/>
    <col min="10" max="10" width="9.7109375" customWidth="1"/>
    <col min="11" max="11" width="0.7109375" customWidth="1"/>
    <col min="12" max="12" width="0.5703125" customWidth="1"/>
    <col min="13" max="13" width="12.42578125" customWidth="1"/>
    <col min="14" max="14" width="1.7109375" customWidth="1"/>
    <col min="15" max="15" width="10.140625" customWidth="1"/>
    <col min="17" max="17" width="15.85546875" customWidth="1"/>
  </cols>
  <sheetData>
    <row r="1" spans="1:19" ht="15" customHeight="1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"/>
      <c r="Q1" s="1"/>
    </row>
    <row r="2" spans="1:19" ht="15" customHeight="1">
      <c r="A2" s="178" t="s">
        <v>1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2"/>
    </row>
    <row r="3" spans="1:19" ht="15" customHeight="1">
      <c r="A3" s="178" t="s">
        <v>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2"/>
    </row>
    <row r="4" spans="1:19" ht="1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9" ht="15" customHeight="1">
      <c r="A5" s="179" t="s">
        <v>3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3"/>
    </row>
    <row r="6" spans="1:19" ht="15" customHeight="1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3"/>
      <c r="N6" s="3"/>
    </row>
    <row r="7" spans="1:19" ht="15" customHeight="1">
      <c r="A7" s="5" t="s">
        <v>4</v>
      </c>
      <c r="B7" s="176">
        <v>202103</v>
      </c>
      <c r="C7" s="176"/>
      <c r="D7" s="5" t="s">
        <v>5</v>
      </c>
      <c r="E7" s="176" t="s">
        <v>6</v>
      </c>
      <c r="F7" s="176"/>
      <c r="G7" s="7"/>
      <c r="H7" s="5" t="s">
        <v>7</v>
      </c>
      <c r="I7" s="6" t="s">
        <v>8</v>
      </c>
      <c r="J7" s="181" t="s">
        <v>9</v>
      </c>
      <c r="K7" s="181"/>
      <c r="L7" s="181"/>
      <c r="M7" s="8" t="s">
        <v>10</v>
      </c>
      <c r="N7" s="8"/>
      <c r="O7" s="9">
        <v>1</v>
      </c>
      <c r="S7" t="s">
        <v>11</v>
      </c>
    </row>
    <row r="8" spans="1:19" ht="15" customHeight="1">
      <c r="A8" s="10"/>
      <c r="B8" s="10"/>
      <c r="C8" s="11"/>
      <c r="D8" s="5"/>
      <c r="E8" s="5"/>
      <c r="F8" s="12"/>
      <c r="G8" s="7"/>
      <c r="H8" s="5"/>
      <c r="I8" s="11"/>
      <c r="J8" s="13"/>
      <c r="K8" s="13"/>
      <c r="L8" s="13"/>
      <c r="M8" s="12"/>
      <c r="N8" s="12"/>
    </row>
    <row r="9" spans="1:19" ht="15" customHeight="1">
      <c r="A9" s="167" t="s">
        <v>12</v>
      </c>
      <c r="B9" s="163"/>
      <c r="C9" s="14"/>
      <c r="D9" s="163" t="s">
        <v>13</v>
      </c>
      <c r="E9" s="15"/>
      <c r="F9" s="163" t="s">
        <v>14</v>
      </c>
      <c r="G9" s="191"/>
      <c r="H9" s="167" t="s">
        <v>15</v>
      </c>
      <c r="I9" s="163" t="s">
        <v>13</v>
      </c>
      <c r="J9" s="169" t="s">
        <v>14</v>
      </c>
      <c r="K9" s="16"/>
      <c r="L9" s="17"/>
      <c r="M9" s="171" t="s">
        <v>16</v>
      </c>
      <c r="N9" s="18"/>
    </row>
    <row r="10" spans="1:19" ht="15" customHeight="1">
      <c r="A10" s="168"/>
      <c r="B10" s="164"/>
      <c r="C10" s="19"/>
      <c r="D10" s="164"/>
      <c r="E10" s="20"/>
      <c r="F10" s="164"/>
      <c r="G10" s="192"/>
      <c r="H10" s="168"/>
      <c r="I10" s="164"/>
      <c r="J10" s="170"/>
      <c r="K10" s="21"/>
      <c r="L10" s="17"/>
      <c r="M10" s="172"/>
      <c r="N10" s="18"/>
    </row>
    <row r="11" spans="1:19" ht="15" customHeight="1">
      <c r="A11" s="173" t="s">
        <v>17</v>
      </c>
      <c r="B11" s="174"/>
      <c r="C11" s="23"/>
      <c r="D11" s="23"/>
      <c r="F11" s="24">
        <v>30000</v>
      </c>
      <c r="G11" s="25"/>
      <c r="H11" s="22" t="s">
        <v>18</v>
      </c>
      <c r="I11" s="26">
        <v>0.05</v>
      </c>
      <c r="J11" s="27">
        <f>IF(F11&lt;17500,F11*5%,17500*5%)</f>
        <v>875</v>
      </c>
      <c r="K11" s="25"/>
      <c r="L11" s="28"/>
      <c r="M11" s="29" t="s">
        <v>19</v>
      </c>
      <c r="N11" s="30"/>
      <c r="Q11" s="31"/>
      <c r="S11" s="32"/>
    </row>
    <row r="12" spans="1:19" ht="15" customHeight="1">
      <c r="A12" s="175" t="s">
        <v>20</v>
      </c>
      <c r="B12" s="176"/>
      <c r="C12" s="199">
        <v>29887</v>
      </c>
      <c r="D12" s="199"/>
      <c r="E12" s="34" t="s">
        <v>21</v>
      </c>
      <c r="F12" s="35">
        <f>C12*0.03</f>
        <v>896.61</v>
      </c>
      <c r="G12" s="36"/>
      <c r="H12" s="33" t="s">
        <v>22</v>
      </c>
      <c r="I12" s="37"/>
      <c r="J12" s="38">
        <v>205</v>
      </c>
      <c r="K12" s="39"/>
      <c r="L12" s="40"/>
      <c r="M12" s="17"/>
      <c r="N12" s="17"/>
      <c r="S12" t="s">
        <v>11</v>
      </c>
    </row>
    <row r="13" spans="1:19" ht="15" customHeight="1">
      <c r="A13" s="175"/>
      <c r="B13" s="176"/>
      <c r="C13" s="199"/>
      <c r="D13" s="199"/>
      <c r="E13" s="34"/>
      <c r="F13" s="35"/>
      <c r="G13" s="36"/>
      <c r="H13" s="41"/>
      <c r="I13" s="42"/>
      <c r="J13" s="43"/>
      <c r="K13" s="39"/>
      <c r="L13" s="40"/>
      <c r="M13" s="171" t="s">
        <v>23</v>
      </c>
      <c r="N13" s="18"/>
    </row>
    <row r="14" spans="1:19" ht="15" customHeight="1">
      <c r="A14" s="175"/>
      <c r="B14" s="176"/>
      <c r="C14" s="44"/>
      <c r="D14" s="44"/>
      <c r="E14" s="45"/>
      <c r="F14" s="45"/>
      <c r="G14" s="36"/>
      <c r="H14" s="41"/>
      <c r="I14" s="42"/>
      <c r="J14" s="43"/>
      <c r="K14" s="39"/>
      <c r="L14" s="40"/>
      <c r="M14" s="172"/>
      <c r="N14" s="18"/>
      <c r="Q14" t="s">
        <v>11</v>
      </c>
    </row>
    <row r="15" spans="1:19" ht="15" customHeight="1">
      <c r="A15" s="41"/>
      <c r="B15" s="46"/>
      <c r="C15" s="47"/>
      <c r="D15" s="12"/>
      <c r="E15" s="48"/>
      <c r="F15" s="48"/>
      <c r="G15" s="36"/>
      <c r="H15" s="41"/>
      <c r="I15" s="42"/>
      <c r="J15" s="43"/>
      <c r="K15" s="39"/>
      <c r="L15" s="40"/>
      <c r="M15" s="161">
        <f>F18-J18</f>
        <v>29816.61</v>
      </c>
      <c r="N15" s="49"/>
    </row>
    <row r="16" spans="1:19" ht="15" customHeight="1">
      <c r="A16" s="41"/>
      <c r="B16" s="46"/>
      <c r="C16" s="47"/>
      <c r="D16" s="12"/>
      <c r="E16" s="48"/>
      <c r="F16" s="48"/>
      <c r="G16" s="36"/>
      <c r="H16" s="41"/>
      <c r="I16" s="42"/>
      <c r="J16" s="43"/>
      <c r="K16" s="39"/>
      <c r="L16" s="40"/>
      <c r="M16" s="162"/>
      <c r="N16" s="49"/>
    </row>
    <row r="17" spans="1:18" ht="15" customHeight="1">
      <c r="A17" s="50"/>
      <c r="B17" s="51"/>
      <c r="C17" s="52"/>
      <c r="D17" s="52"/>
      <c r="E17" s="48"/>
      <c r="F17" s="48"/>
      <c r="G17" s="53"/>
      <c r="H17" s="54"/>
      <c r="I17" s="51"/>
      <c r="J17" s="55"/>
      <c r="K17" s="56"/>
      <c r="L17" s="57"/>
      <c r="M17" s="7"/>
      <c r="N17" s="7"/>
    </row>
    <row r="18" spans="1:18" ht="15" customHeight="1">
      <c r="A18" s="58"/>
      <c r="B18" s="59"/>
      <c r="C18" s="60"/>
      <c r="D18" s="163" t="s">
        <v>24</v>
      </c>
      <c r="E18" s="61"/>
      <c r="F18" s="165">
        <f>SUM(F11:F17)</f>
        <v>30896.61</v>
      </c>
      <c r="G18" s="62"/>
      <c r="H18" s="167" t="s">
        <v>25</v>
      </c>
      <c r="I18" s="163"/>
      <c r="J18" s="165">
        <f>SUM(J11:J17)</f>
        <v>1080</v>
      </c>
      <c r="K18" s="62"/>
      <c r="L18" s="57"/>
      <c r="M18" s="63"/>
      <c r="N18" s="64"/>
    </row>
    <row r="19" spans="1:18" ht="15" customHeight="1">
      <c r="A19" s="65"/>
      <c r="B19" s="66"/>
      <c r="C19" s="66"/>
      <c r="D19" s="164"/>
      <c r="E19" s="67"/>
      <c r="F19" s="166"/>
      <c r="G19" s="68"/>
      <c r="H19" s="168"/>
      <c r="I19" s="164"/>
      <c r="J19" s="166"/>
      <c r="K19" s="68"/>
      <c r="L19" s="57"/>
      <c r="M19" s="46" t="s">
        <v>26</v>
      </c>
      <c r="N19" s="64"/>
    </row>
    <row r="20" spans="1:18" ht="15" customHeight="1">
      <c r="A20" s="69"/>
      <c r="B20" s="69"/>
      <c r="C20" s="69"/>
      <c r="D20" s="18"/>
      <c r="E20" s="18"/>
      <c r="F20" s="70"/>
      <c r="G20" s="57"/>
      <c r="H20" s="18"/>
      <c r="I20" s="18"/>
      <c r="J20" s="70"/>
      <c r="K20" s="57"/>
      <c r="L20" s="57"/>
      <c r="M20" s="64"/>
      <c r="N20" s="64"/>
    </row>
    <row r="21" spans="1:18" ht="14.45" customHeight="1">
      <c r="A21" s="177" t="s">
        <v>0</v>
      </c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71"/>
    </row>
    <row r="22" spans="1:18" ht="15.6" customHeight="1">
      <c r="A22" s="178" t="s">
        <v>1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3"/>
    </row>
    <row r="23" spans="1:18" ht="15.6" customHeight="1">
      <c r="A23" s="178" t="s">
        <v>2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3"/>
    </row>
    <row r="24" spans="1:18" ht="15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8" ht="15.6" customHeight="1">
      <c r="A25" s="179" t="s">
        <v>3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3"/>
    </row>
    <row r="26" spans="1:18" ht="15.6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3"/>
      <c r="N26" s="3"/>
    </row>
    <row r="27" spans="1:18" ht="15.6" customHeight="1">
      <c r="A27" s="5" t="s">
        <v>4</v>
      </c>
      <c r="B27" s="176">
        <v>202107</v>
      </c>
      <c r="C27" s="176"/>
      <c r="D27" s="5" t="s">
        <v>5</v>
      </c>
      <c r="E27" s="176" t="s">
        <v>27</v>
      </c>
      <c r="F27" s="176"/>
      <c r="G27" s="12"/>
      <c r="H27" s="5" t="s">
        <v>7</v>
      </c>
      <c r="I27" s="6" t="s">
        <v>28</v>
      </c>
      <c r="J27" s="181" t="s">
        <v>9</v>
      </c>
      <c r="K27" s="181"/>
      <c r="L27" s="181"/>
      <c r="M27" s="8" t="s">
        <v>29</v>
      </c>
      <c r="N27" s="8"/>
      <c r="O27" s="72">
        <v>2</v>
      </c>
    </row>
    <row r="28" spans="1:18" ht="15.6" customHeight="1">
      <c r="A28" s="10"/>
      <c r="B28" s="10"/>
      <c r="C28" s="11"/>
      <c r="D28" s="5"/>
      <c r="E28" s="5"/>
      <c r="F28" s="12"/>
      <c r="G28" s="7"/>
      <c r="H28" s="5"/>
      <c r="I28" s="11"/>
      <c r="J28" s="13"/>
      <c r="K28" s="13"/>
      <c r="L28" s="13"/>
      <c r="M28" s="12"/>
      <c r="N28" s="12"/>
      <c r="O28" s="73"/>
    </row>
    <row r="29" spans="1:18" ht="15.6" customHeight="1">
      <c r="A29" s="167" t="s">
        <v>12</v>
      </c>
      <c r="B29" s="163"/>
      <c r="C29" s="14"/>
      <c r="D29" s="163" t="s">
        <v>13</v>
      </c>
      <c r="E29" s="169" t="s">
        <v>14</v>
      </c>
      <c r="F29" s="169"/>
      <c r="G29" s="16"/>
      <c r="H29" s="167" t="s">
        <v>15</v>
      </c>
      <c r="I29" s="163" t="s">
        <v>13</v>
      </c>
      <c r="J29" s="169" t="s">
        <v>14</v>
      </c>
      <c r="K29" s="16"/>
      <c r="L29" s="17"/>
      <c r="M29" s="171" t="s">
        <v>16</v>
      </c>
      <c r="N29" s="18"/>
      <c r="O29" s="74" t="s">
        <v>30</v>
      </c>
    </row>
    <row r="30" spans="1:18" ht="15.6" customHeight="1">
      <c r="A30" s="168"/>
      <c r="B30" s="164"/>
      <c r="C30" s="19"/>
      <c r="D30" s="164"/>
      <c r="E30" s="170"/>
      <c r="F30" s="170"/>
      <c r="G30" s="21"/>
      <c r="H30" s="168"/>
      <c r="I30" s="164"/>
      <c r="J30" s="170"/>
      <c r="K30" s="21"/>
      <c r="L30" s="17"/>
      <c r="M30" s="172"/>
      <c r="N30" s="18"/>
      <c r="O30" s="75">
        <f>F31</f>
        <v>12500</v>
      </c>
    </row>
    <row r="31" spans="1:18" ht="15.6" customHeight="1">
      <c r="A31" s="173" t="s">
        <v>17</v>
      </c>
      <c r="B31" s="174"/>
      <c r="C31" s="23"/>
      <c r="D31" s="23"/>
      <c r="F31" s="76">
        <f>'[1]สรุปอินฟินิท เบรน68'!F76</f>
        <v>12500</v>
      </c>
      <c r="G31" s="25"/>
      <c r="H31" s="77" t="s">
        <v>18</v>
      </c>
      <c r="I31" s="26">
        <v>0.05</v>
      </c>
      <c r="J31" s="27">
        <f>IF(F31&lt;17500,F31*5%,17500*5%)</f>
        <v>625</v>
      </c>
      <c r="K31" s="25"/>
      <c r="L31" s="28"/>
      <c r="M31" s="78" t="str">
        <f>M11</f>
        <v>31 มกราคม 2569</v>
      </c>
      <c r="N31" s="79"/>
      <c r="O31" s="74" t="s">
        <v>31</v>
      </c>
      <c r="R31" t="s">
        <v>11</v>
      </c>
    </row>
    <row r="32" spans="1:18" ht="15.6" customHeight="1">
      <c r="A32" s="190"/>
      <c r="B32" s="180"/>
      <c r="C32" s="80"/>
      <c r="D32" s="81"/>
      <c r="E32" s="82"/>
      <c r="F32" s="82"/>
      <c r="G32" s="36"/>
      <c r="H32" s="83"/>
      <c r="I32" s="37"/>
      <c r="J32" s="84"/>
      <c r="K32" s="39"/>
      <c r="L32" s="40"/>
      <c r="M32" s="17"/>
      <c r="N32" s="17"/>
      <c r="O32" s="85">
        <f>(((O30/30)/8)/60)</f>
        <v>0.86805555555555558</v>
      </c>
    </row>
    <row r="33" spans="1:19" ht="15.6" customHeight="1">
      <c r="A33" s="175"/>
      <c r="B33" s="176"/>
      <c r="C33" s="80"/>
      <c r="D33" s="86"/>
      <c r="E33" s="48"/>
      <c r="F33" s="48"/>
      <c r="G33" s="36"/>
      <c r="H33" s="41"/>
      <c r="I33" s="42"/>
      <c r="J33" s="43"/>
      <c r="K33" s="39"/>
      <c r="L33" s="40"/>
      <c r="M33" s="171" t="s">
        <v>23</v>
      </c>
      <c r="N33" s="18"/>
    </row>
    <row r="34" spans="1:19" ht="15.6" customHeight="1">
      <c r="A34" s="175"/>
      <c r="B34" s="176"/>
      <c r="C34" s="80"/>
      <c r="D34" s="80"/>
      <c r="E34" s="48"/>
      <c r="F34" s="48"/>
      <c r="G34" s="36"/>
      <c r="H34" s="41"/>
      <c r="I34" s="42"/>
      <c r="J34" s="43"/>
      <c r="K34" s="39"/>
      <c r="L34" s="40"/>
      <c r="M34" s="172"/>
      <c r="N34" s="18"/>
      <c r="O34" s="87"/>
    </row>
    <row r="35" spans="1:19" ht="15.6" customHeight="1">
      <c r="A35" s="41"/>
      <c r="B35" s="46"/>
      <c r="C35" s="47"/>
      <c r="D35" s="12"/>
      <c r="E35" s="48"/>
      <c r="F35" s="48"/>
      <c r="G35" s="36"/>
      <c r="H35" s="41"/>
      <c r="I35" s="42"/>
      <c r="J35" s="43"/>
      <c r="K35" s="39"/>
      <c r="L35" s="40"/>
      <c r="M35" s="161">
        <f>F38-J38</f>
        <v>11875</v>
      </c>
      <c r="N35" s="49"/>
    </row>
    <row r="36" spans="1:19" ht="15.6" customHeight="1">
      <c r="A36" s="41"/>
      <c r="B36" s="46"/>
      <c r="C36" s="47"/>
      <c r="D36" s="12"/>
      <c r="E36" s="48"/>
      <c r="F36" s="48"/>
      <c r="G36" s="36"/>
      <c r="H36" s="41"/>
      <c r="I36" s="42"/>
      <c r="J36" s="43"/>
      <c r="K36" s="39"/>
      <c r="L36" s="40"/>
      <c r="M36" s="162"/>
      <c r="N36" s="49"/>
    </row>
    <row r="37" spans="1:19" ht="15.6" customHeight="1">
      <c r="A37" s="50"/>
      <c r="B37" s="51"/>
      <c r="C37" s="52"/>
      <c r="D37" s="52"/>
      <c r="E37" s="48"/>
      <c r="F37" s="48"/>
      <c r="G37" s="53"/>
      <c r="H37" s="54"/>
      <c r="I37" s="51"/>
      <c r="J37" s="55"/>
      <c r="K37" s="56"/>
      <c r="L37" s="57"/>
      <c r="M37" s="7"/>
      <c r="N37" s="7"/>
      <c r="Q37" t="s">
        <v>11</v>
      </c>
    </row>
    <row r="38" spans="1:19" ht="15.6" customHeight="1">
      <c r="A38" s="58"/>
      <c r="B38" s="59"/>
      <c r="C38" s="60"/>
      <c r="D38" s="163" t="s">
        <v>24</v>
      </c>
      <c r="E38" s="88" t="s">
        <v>11</v>
      </c>
      <c r="F38" s="165">
        <f>SUM(F31:F37)</f>
        <v>12500</v>
      </c>
      <c r="G38" s="62"/>
      <c r="H38" s="167" t="s">
        <v>25</v>
      </c>
      <c r="I38" s="163"/>
      <c r="J38" s="165">
        <f>SUM(J31:J37)</f>
        <v>625</v>
      </c>
      <c r="K38" s="62"/>
      <c r="L38" s="57"/>
      <c r="M38" s="63"/>
      <c r="N38" s="64"/>
    </row>
    <row r="39" spans="1:19" ht="15.6" customHeight="1">
      <c r="A39" s="65"/>
      <c r="B39" s="66"/>
      <c r="C39" s="66"/>
      <c r="D39" s="164"/>
      <c r="E39" s="89"/>
      <c r="F39" s="198"/>
      <c r="G39" s="68"/>
      <c r="H39" s="168"/>
      <c r="I39" s="164"/>
      <c r="J39" s="166"/>
      <c r="K39" s="68"/>
      <c r="L39" s="57"/>
      <c r="M39" s="46" t="s">
        <v>26</v>
      </c>
      <c r="N39" s="64"/>
    </row>
    <row r="40" spans="1:19">
      <c r="A40" s="177" t="s">
        <v>0</v>
      </c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71"/>
    </row>
    <row r="41" spans="1:19">
      <c r="A41" s="178" t="s">
        <v>1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3"/>
      <c r="S41" t="s">
        <v>11</v>
      </c>
    </row>
    <row r="42" spans="1:19">
      <c r="A42" s="178" t="s">
        <v>2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9" ht="15" customHeight="1">
      <c r="A44" s="179" t="s">
        <v>3</v>
      </c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3"/>
    </row>
    <row r="45" spans="1:19" ht="15" customHeight="1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3"/>
      <c r="N45" s="3"/>
      <c r="S45" t="s">
        <v>11</v>
      </c>
    </row>
    <row r="46" spans="1:19">
      <c r="A46" s="5" t="s">
        <v>4</v>
      </c>
      <c r="B46" s="176">
        <v>202113</v>
      </c>
      <c r="C46" s="176"/>
      <c r="D46" s="5" t="s">
        <v>5</v>
      </c>
      <c r="E46" s="176" t="s">
        <v>32</v>
      </c>
      <c r="F46" s="176"/>
      <c r="G46" s="12"/>
      <c r="H46" s="5" t="s">
        <v>7</v>
      </c>
      <c r="I46" s="6" t="s">
        <v>33</v>
      </c>
      <c r="J46" s="181" t="s">
        <v>9</v>
      </c>
      <c r="K46" s="181"/>
      <c r="L46" s="181"/>
      <c r="M46" s="8" t="s">
        <v>34</v>
      </c>
      <c r="N46" s="8"/>
      <c r="O46" s="72">
        <v>3</v>
      </c>
    </row>
    <row r="47" spans="1:19">
      <c r="A47" s="10"/>
      <c r="B47" s="10"/>
      <c r="C47" s="11"/>
      <c r="D47" s="5"/>
      <c r="E47" s="5"/>
      <c r="F47" s="12"/>
      <c r="G47" s="7"/>
      <c r="H47" s="5"/>
      <c r="I47" s="11"/>
      <c r="J47" s="13"/>
      <c r="K47" s="13"/>
      <c r="L47" s="13"/>
      <c r="M47" s="12"/>
      <c r="N47" s="12"/>
      <c r="O47" s="73"/>
    </row>
    <row r="48" spans="1:19">
      <c r="A48" s="167" t="s">
        <v>12</v>
      </c>
      <c r="B48" s="163"/>
      <c r="C48" s="14"/>
      <c r="D48" s="163" t="s">
        <v>35</v>
      </c>
      <c r="E48" s="163" t="s">
        <v>36</v>
      </c>
      <c r="F48" s="163" t="s">
        <v>14</v>
      </c>
      <c r="G48" s="16"/>
      <c r="H48" s="167" t="s">
        <v>15</v>
      </c>
      <c r="I48" s="163" t="s">
        <v>13</v>
      </c>
      <c r="J48" s="169" t="s">
        <v>14</v>
      </c>
      <c r="K48" s="16"/>
      <c r="L48" s="17"/>
      <c r="M48" s="171" t="s">
        <v>16</v>
      </c>
      <c r="N48" s="18"/>
      <c r="O48" s="74" t="s">
        <v>30</v>
      </c>
    </row>
    <row r="49" spans="1:17">
      <c r="A49" s="168"/>
      <c r="B49" s="164"/>
      <c r="C49" s="19"/>
      <c r="D49" s="164"/>
      <c r="E49" s="164"/>
      <c r="F49" s="164"/>
      <c r="G49" s="21"/>
      <c r="H49" s="168"/>
      <c r="I49" s="164"/>
      <c r="J49" s="170"/>
      <c r="K49" s="21"/>
      <c r="L49" s="17"/>
      <c r="M49" s="172"/>
      <c r="N49" s="18"/>
      <c r="O49" s="75">
        <f>F50</f>
        <v>5000</v>
      </c>
    </row>
    <row r="50" spans="1:17">
      <c r="A50" s="90" t="s">
        <v>37</v>
      </c>
      <c r="B50" s="91"/>
      <c r="C50" s="92"/>
      <c r="D50" s="93">
        <v>385</v>
      </c>
      <c r="E50" s="93">
        <v>20</v>
      </c>
      <c r="F50" s="94">
        <v>5000</v>
      </c>
      <c r="G50" s="25"/>
      <c r="H50" s="22" t="s">
        <v>38</v>
      </c>
      <c r="I50" s="95">
        <v>0.03</v>
      </c>
      <c r="J50" s="27">
        <f>F57*3%</f>
        <v>225</v>
      </c>
      <c r="K50" s="25"/>
      <c r="L50" s="28"/>
      <c r="M50" s="78" t="str">
        <f>M11</f>
        <v>31 มกราคม 2569</v>
      </c>
      <c r="N50" s="79"/>
      <c r="O50" s="74" t="s">
        <v>31</v>
      </c>
    </row>
    <row r="51" spans="1:17">
      <c r="A51" s="195" t="s">
        <v>39</v>
      </c>
      <c r="B51" s="196"/>
      <c r="C51" s="81"/>
      <c r="D51" s="93">
        <v>500</v>
      </c>
      <c r="E51" s="93">
        <v>5</v>
      </c>
      <c r="F51" s="94">
        <f>D51*E51</f>
        <v>2500</v>
      </c>
      <c r="G51" s="36"/>
      <c r="H51" s="33"/>
      <c r="I51" s="38"/>
      <c r="J51" s="38"/>
      <c r="K51" s="39"/>
      <c r="L51" s="40"/>
      <c r="M51" s="17"/>
      <c r="N51" s="17"/>
      <c r="O51" s="85">
        <f>(((O49/30)/8)/60)</f>
        <v>0.34722222222222221</v>
      </c>
    </row>
    <row r="52" spans="1:17">
      <c r="A52" s="195"/>
      <c r="B52" s="196"/>
      <c r="C52" s="197"/>
      <c r="D52" s="197"/>
      <c r="E52" s="96"/>
      <c r="F52" s="97"/>
      <c r="G52" s="36"/>
      <c r="H52" s="33"/>
      <c r="I52" s="93"/>
      <c r="J52" s="38"/>
      <c r="K52" s="39"/>
      <c r="L52" s="40"/>
      <c r="M52" s="171" t="s">
        <v>23</v>
      </c>
      <c r="N52" s="18"/>
    </row>
    <row r="53" spans="1:17">
      <c r="A53" s="195"/>
      <c r="B53" s="196"/>
      <c r="C53" s="81"/>
      <c r="D53" s="81"/>
      <c r="E53" s="82"/>
      <c r="F53" s="82"/>
      <c r="G53" s="36"/>
      <c r="H53" s="41"/>
      <c r="I53" s="42"/>
      <c r="J53" s="43"/>
      <c r="K53" s="39"/>
      <c r="L53" s="40"/>
      <c r="M53" s="172"/>
      <c r="N53" s="18"/>
      <c r="O53" s="87"/>
      <c r="Q53" t="s">
        <v>11</v>
      </c>
    </row>
    <row r="54" spans="1:17" ht="16.5">
      <c r="A54" s="195"/>
      <c r="B54" s="196"/>
      <c r="C54" s="47"/>
      <c r="D54" s="12"/>
      <c r="E54" s="48"/>
      <c r="F54" s="48"/>
      <c r="G54" s="36"/>
      <c r="H54" s="41"/>
      <c r="I54" s="42"/>
      <c r="J54" s="43"/>
      <c r="K54" s="39"/>
      <c r="L54" s="40"/>
      <c r="M54" s="161">
        <f>F57-J57</f>
        <v>7275</v>
      </c>
      <c r="N54" s="49"/>
    </row>
    <row r="55" spans="1:17" ht="16.5">
      <c r="A55" s="195"/>
      <c r="B55" s="196"/>
      <c r="C55" s="47"/>
      <c r="D55" s="12"/>
      <c r="E55" s="48"/>
      <c r="F55" s="48"/>
      <c r="G55" s="36"/>
      <c r="H55" s="41"/>
      <c r="I55" s="42"/>
      <c r="J55" s="43"/>
      <c r="K55" s="39"/>
      <c r="L55" s="40"/>
      <c r="M55" s="162"/>
      <c r="N55" s="49"/>
    </row>
    <row r="56" spans="1:17">
      <c r="A56" s="195"/>
      <c r="B56" s="196"/>
      <c r="C56" s="52"/>
      <c r="D56" s="52"/>
      <c r="E56" s="48"/>
      <c r="F56" s="48"/>
      <c r="G56" s="53"/>
      <c r="H56" s="54"/>
      <c r="I56" s="51"/>
      <c r="J56" s="55"/>
      <c r="K56" s="56"/>
      <c r="L56" s="57"/>
      <c r="M56" s="7"/>
      <c r="N56" s="7"/>
    </row>
    <row r="57" spans="1:17">
      <c r="A57" s="58"/>
      <c r="B57" s="59"/>
      <c r="C57" s="60"/>
      <c r="D57" s="163" t="s">
        <v>24</v>
      </c>
      <c r="E57" s="88"/>
      <c r="F57" s="165">
        <f>SUM(F50:F56)</f>
        <v>7500</v>
      </c>
      <c r="G57" s="62"/>
      <c r="H57" s="167" t="s">
        <v>25</v>
      </c>
      <c r="I57" s="163"/>
      <c r="J57" s="165">
        <f>SUM(J50:J56)</f>
        <v>225</v>
      </c>
      <c r="K57" s="62"/>
      <c r="L57" s="57"/>
      <c r="M57" s="63"/>
      <c r="N57" s="64"/>
    </row>
    <row r="58" spans="1:17">
      <c r="A58" s="65"/>
      <c r="B58" s="66"/>
      <c r="C58" s="66"/>
      <c r="D58" s="164"/>
      <c r="E58" s="67"/>
      <c r="F58" s="166"/>
      <c r="G58" s="68"/>
      <c r="H58" s="168"/>
      <c r="I58" s="164"/>
      <c r="J58" s="166"/>
      <c r="K58" s="68"/>
      <c r="L58" s="57"/>
      <c r="M58" s="46" t="s">
        <v>26</v>
      </c>
      <c r="N58" s="64"/>
    </row>
    <row r="59" spans="1:17">
      <c r="A59" s="177" t="s">
        <v>0</v>
      </c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71"/>
    </row>
    <row r="60" spans="1:17">
      <c r="A60" s="178" t="s">
        <v>1</v>
      </c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3"/>
    </row>
    <row r="61" spans="1:17">
      <c r="A61" s="178" t="s">
        <v>2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7" ht="15" customHeight="1">
      <c r="A63" s="179" t="s">
        <v>3</v>
      </c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3"/>
    </row>
    <row r="64" spans="1:17" ht="15" customHeight="1">
      <c r="A64" s="3"/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3"/>
      <c r="N64" s="3"/>
    </row>
    <row r="65" spans="1:18">
      <c r="A65" s="5" t="s">
        <v>4</v>
      </c>
      <c r="B65" s="176">
        <v>202119</v>
      </c>
      <c r="C65" s="176"/>
      <c r="D65" s="5" t="s">
        <v>5</v>
      </c>
      <c r="E65" s="176" t="s">
        <v>40</v>
      </c>
      <c r="F65" s="176"/>
      <c r="G65" s="12"/>
      <c r="H65" s="5" t="s">
        <v>7</v>
      </c>
      <c r="I65" s="6" t="s">
        <v>33</v>
      </c>
      <c r="J65" s="181" t="s">
        <v>9</v>
      </c>
      <c r="K65" s="181"/>
      <c r="L65" s="181"/>
      <c r="M65" s="8" t="s">
        <v>41</v>
      </c>
      <c r="N65" s="8"/>
      <c r="O65" s="72">
        <v>4</v>
      </c>
    </row>
    <row r="66" spans="1:18">
      <c r="A66" s="10"/>
      <c r="B66" s="10"/>
      <c r="C66" s="11"/>
      <c r="D66" s="5"/>
      <c r="E66" s="5"/>
      <c r="F66" s="12"/>
      <c r="G66" s="7"/>
      <c r="H66" s="5"/>
      <c r="I66" s="11"/>
      <c r="J66" s="13"/>
      <c r="K66" s="13"/>
      <c r="L66" s="13"/>
      <c r="M66" s="12"/>
      <c r="N66" s="12"/>
      <c r="O66" s="73"/>
    </row>
    <row r="67" spans="1:18">
      <c r="A67" s="167" t="s">
        <v>12</v>
      </c>
      <c r="B67" s="163"/>
      <c r="C67" s="14"/>
      <c r="D67" s="163" t="s">
        <v>42</v>
      </c>
      <c r="E67" s="163" t="s">
        <v>43</v>
      </c>
      <c r="F67" s="163" t="s">
        <v>14</v>
      </c>
      <c r="G67" s="16"/>
      <c r="H67" s="167" t="s">
        <v>15</v>
      </c>
      <c r="I67" s="163" t="s">
        <v>13</v>
      </c>
      <c r="J67" s="169" t="s">
        <v>14</v>
      </c>
      <c r="K67" s="16"/>
      <c r="L67" s="17"/>
      <c r="M67" s="171" t="s">
        <v>16</v>
      </c>
      <c r="N67" s="18"/>
      <c r="O67" s="74" t="s">
        <v>30</v>
      </c>
    </row>
    <row r="68" spans="1:18">
      <c r="A68" s="168"/>
      <c r="B68" s="164"/>
      <c r="C68" s="19"/>
      <c r="D68" s="164"/>
      <c r="E68" s="164"/>
      <c r="F68" s="164"/>
      <c r="G68" s="21"/>
      <c r="H68" s="168"/>
      <c r="I68" s="164"/>
      <c r="J68" s="170"/>
      <c r="K68" s="21"/>
      <c r="L68" s="17"/>
      <c r="M68" s="172"/>
      <c r="N68" s="18"/>
      <c r="O68" s="75">
        <f>F69</f>
        <v>1800</v>
      </c>
    </row>
    <row r="69" spans="1:18">
      <c r="A69" s="173" t="s">
        <v>17</v>
      </c>
      <c r="B69" s="174"/>
      <c r="C69" s="23"/>
      <c r="D69" s="93">
        <v>600</v>
      </c>
      <c r="E69" s="93">
        <v>3</v>
      </c>
      <c r="F69" s="94">
        <f>D69*E69</f>
        <v>1800</v>
      </c>
      <c r="G69" s="25"/>
      <c r="H69" s="22" t="s">
        <v>38</v>
      </c>
      <c r="I69" s="95">
        <v>0.03</v>
      </c>
      <c r="J69" s="27">
        <f>IF(F69&lt;17500,F69*5%,17500*5%)</f>
        <v>90</v>
      </c>
      <c r="K69" s="25"/>
      <c r="L69" s="28"/>
      <c r="M69" s="78" t="str">
        <f>M11</f>
        <v>31 มกราคม 2569</v>
      </c>
      <c r="N69" s="79"/>
      <c r="O69" s="74" t="s">
        <v>31</v>
      </c>
    </row>
    <row r="70" spans="1:18">
      <c r="A70" s="175"/>
      <c r="B70" s="176"/>
      <c r="C70" s="80"/>
      <c r="D70" s="98"/>
      <c r="E70" s="94"/>
      <c r="F70" s="94"/>
      <c r="G70" s="36"/>
      <c r="H70" s="83"/>
      <c r="I70" s="37"/>
      <c r="J70" s="84"/>
      <c r="K70" s="39"/>
      <c r="L70" s="40"/>
      <c r="M70" s="17"/>
      <c r="N70" s="17"/>
      <c r="O70" s="85">
        <f>(((O68/30)/8)/60)</f>
        <v>0.125</v>
      </c>
    </row>
    <row r="71" spans="1:18">
      <c r="A71" s="175"/>
      <c r="B71" s="176"/>
      <c r="C71" s="80"/>
      <c r="D71" s="86"/>
      <c r="E71" s="48"/>
      <c r="F71" s="48"/>
      <c r="G71" s="36"/>
      <c r="H71" s="41"/>
      <c r="I71" s="42"/>
      <c r="J71" s="43"/>
      <c r="K71" s="39"/>
      <c r="L71" s="40"/>
      <c r="M71" s="171" t="s">
        <v>23</v>
      </c>
      <c r="N71" s="18"/>
    </row>
    <row r="72" spans="1:18">
      <c r="A72" s="83"/>
      <c r="B72" s="37"/>
      <c r="C72" s="80"/>
      <c r="D72" s="80"/>
      <c r="E72" s="48"/>
      <c r="F72" s="48"/>
      <c r="G72" s="36"/>
      <c r="H72" s="41"/>
      <c r="I72" s="42"/>
      <c r="J72" s="43"/>
      <c r="K72" s="39"/>
      <c r="L72" s="40"/>
      <c r="M72" s="172"/>
      <c r="N72" s="18"/>
      <c r="O72" s="87"/>
      <c r="R72" t="s">
        <v>11</v>
      </c>
    </row>
    <row r="73" spans="1:18" ht="16.5">
      <c r="A73" s="41"/>
      <c r="B73" s="46"/>
      <c r="C73" s="47"/>
      <c r="D73" s="12"/>
      <c r="E73" s="48"/>
      <c r="F73" s="48"/>
      <c r="G73" s="36"/>
      <c r="H73" s="41"/>
      <c r="I73" s="42"/>
      <c r="J73" s="43"/>
      <c r="K73" s="39"/>
      <c r="L73" s="40"/>
      <c r="M73" s="161">
        <f>F76-J76</f>
        <v>1710</v>
      </c>
      <c r="N73" s="49"/>
      <c r="R73" t="s">
        <v>11</v>
      </c>
    </row>
    <row r="74" spans="1:18" ht="16.5">
      <c r="A74" s="41"/>
      <c r="B74" s="46"/>
      <c r="C74" s="47"/>
      <c r="D74" s="12"/>
      <c r="E74" s="48"/>
      <c r="F74" s="48"/>
      <c r="G74" s="36"/>
      <c r="H74" s="41"/>
      <c r="I74" s="42"/>
      <c r="J74" s="43"/>
      <c r="K74" s="39"/>
      <c r="L74" s="40"/>
      <c r="M74" s="162"/>
      <c r="N74" s="49"/>
    </row>
    <row r="75" spans="1:18">
      <c r="A75" s="50"/>
      <c r="B75" s="51"/>
      <c r="C75" s="52"/>
      <c r="D75" s="52"/>
      <c r="E75" s="48"/>
      <c r="F75" s="48"/>
      <c r="G75" s="53"/>
      <c r="H75" s="54"/>
      <c r="I75" s="51"/>
      <c r="J75" s="55"/>
      <c r="K75" s="56"/>
      <c r="L75" s="57"/>
      <c r="M75" s="7"/>
      <c r="N75" s="7"/>
    </row>
    <row r="76" spans="1:18">
      <c r="A76" s="58"/>
      <c r="B76" s="59"/>
      <c r="C76" s="60"/>
      <c r="D76" s="163" t="s">
        <v>24</v>
      </c>
      <c r="E76" s="88"/>
      <c r="F76" s="165">
        <f>SUM(F69:F75)</f>
        <v>1800</v>
      </c>
      <c r="G76" s="62"/>
      <c r="H76" s="167" t="s">
        <v>25</v>
      </c>
      <c r="I76" s="163"/>
      <c r="J76" s="165">
        <f>SUM(J69:J75)</f>
        <v>90</v>
      </c>
      <c r="K76" s="62"/>
      <c r="L76" s="57"/>
      <c r="M76" s="63"/>
      <c r="N76" s="64"/>
    </row>
    <row r="77" spans="1:18">
      <c r="A77" s="65"/>
      <c r="B77" s="66"/>
      <c r="C77" s="66"/>
      <c r="D77" s="164"/>
      <c r="E77" s="67"/>
      <c r="F77" s="166"/>
      <c r="G77" s="68"/>
      <c r="H77" s="168"/>
      <c r="I77" s="164"/>
      <c r="J77" s="166"/>
      <c r="K77" s="68"/>
      <c r="L77" s="57"/>
      <c r="M77" s="46" t="s">
        <v>26</v>
      </c>
      <c r="N77" s="64"/>
    </row>
    <row r="78" spans="1:18">
      <c r="A78" s="177" t="s">
        <v>0</v>
      </c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71"/>
    </row>
    <row r="79" spans="1:18">
      <c r="A79" s="178" t="s">
        <v>1</v>
      </c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3"/>
    </row>
    <row r="80" spans="1:18">
      <c r="A80" s="178" t="s">
        <v>2</v>
      </c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3"/>
    </row>
    <row r="81" spans="1: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8" ht="15.6" customHeight="1">
      <c r="A82" s="179" t="s">
        <v>3</v>
      </c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3"/>
    </row>
    <row r="83" spans="1:18" ht="15.6" customHeight="1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3"/>
      <c r="N83" s="3"/>
    </row>
    <row r="84" spans="1:18">
      <c r="A84" s="5" t="s">
        <v>4</v>
      </c>
      <c r="B84" s="176">
        <v>202111</v>
      </c>
      <c r="C84" s="176"/>
      <c r="D84" s="5" t="s">
        <v>5</v>
      </c>
      <c r="E84" s="176" t="s">
        <v>44</v>
      </c>
      <c r="F84" s="176"/>
      <c r="G84" s="7"/>
      <c r="H84" s="5" t="s">
        <v>7</v>
      </c>
      <c r="I84" s="6" t="s">
        <v>45</v>
      </c>
      <c r="J84" s="181" t="s">
        <v>9</v>
      </c>
      <c r="K84" s="181"/>
      <c r="L84" s="181"/>
      <c r="M84" s="80"/>
      <c r="N84" s="80"/>
      <c r="O84" s="72">
        <v>5</v>
      </c>
    </row>
    <row r="85" spans="1:18">
      <c r="A85" s="10"/>
      <c r="B85" s="10"/>
      <c r="C85" s="11"/>
      <c r="D85" s="5"/>
      <c r="E85" s="5"/>
      <c r="F85" s="12"/>
      <c r="G85" s="12"/>
      <c r="H85" s="5"/>
      <c r="I85" s="11"/>
      <c r="J85" s="13"/>
      <c r="K85" s="13"/>
      <c r="L85" s="13"/>
      <c r="M85" s="12"/>
      <c r="N85" s="12"/>
      <c r="O85" s="73"/>
    </row>
    <row r="86" spans="1:18">
      <c r="A86" s="167" t="s">
        <v>12</v>
      </c>
      <c r="B86" s="163"/>
      <c r="C86" s="14"/>
      <c r="D86" s="169" t="s">
        <v>13</v>
      </c>
      <c r="E86" s="169" t="s">
        <v>14</v>
      </c>
      <c r="F86" s="169"/>
      <c r="G86" s="16"/>
      <c r="H86" s="167" t="s">
        <v>15</v>
      </c>
      <c r="I86" s="163" t="s">
        <v>13</v>
      </c>
      <c r="J86" s="169" t="s">
        <v>14</v>
      </c>
      <c r="K86" s="16"/>
      <c r="L86" s="17"/>
      <c r="M86" s="171" t="s">
        <v>16</v>
      </c>
      <c r="N86" s="18"/>
      <c r="O86" s="74" t="s">
        <v>30</v>
      </c>
    </row>
    <row r="87" spans="1:18">
      <c r="A87" s="168"/>
      <c r="B87" s="164"/>
      <c r="C87" s="19"/>
      <c r="D87" s="170"/>
      <c r="E87" s="170"/>
      <c r="F87" s="170"/>
      <c r="G87" s="21"/>
      <c r="H87" s="168"/>
      <c r="I87" s="164"/>
      <c r="J87" s="170"/>
      <c r="K87" s="21"/>
      <c r="L87" s="17"/>
      <c r="M87" s="172"/>
      <c r="N87" s="18"/>
      <c r="O87" s="75">
        <f>F88</f>
        <v>18000</v>
      </c>
    </row>
    <row r="88" spans="1:18">
      <c r="A88" s="173" t="s">
        <v>17</v>
      </c>
      <c r="B88" s="174"/>
      <c r="C88" s="23"/>
      <c r="D88" s="23"/>
      <c r="E88" s="23"/>
      <c r="F88" s="27">
        <v>18000</v>
      </c>
      <c r="G88" s="25"/>
      <c r="H88" s="22" t="s">
        <v>18</v>
      </c>
      <c r="I88" s="26">
        <v>0.05</v>
      </c>
      <c r="J88" s="27">
        <f>IF(F88&lt;17500,F88*5%,17500*5%)</f>
        <v>875</v>
      </c>
      <c r="K88" s="25"/>
      <c r="L88" s="28"/>
      <c r="M88" s="78" t="str">
        <f>M11</f>
        <v>31 มกราคม 2569</v>
      </c>
      <c r="N88" s="79"/>
      <c r="O88" s="74" t="s">
        <v>31</v>
      </c>
      <c r="R88" t="s">
        <v>11</v>
      </c>
    </row>
    <row r="89" spans="1:18">
      <c r="A89" s="175"/>
      <c r="B89" s="176"/>
      <c r="C89" s="8"/>
      <c r="D89" s="99"/>
      <c r="E89" s="8"/>
      <c r="F89" s="38"/>
      <c r="G89" s="36"/>
      <c r="H89" s="83"/>
      <c r="I89" s="37"/>
      <c r="J89" s="84"/>
      <c r="K89" s="39"/>
      <c r="L89" s="40"/>
      <c r="M89" s="17"/>
      <c r="N89" s="17"/>
      <c r="O89" s="85">
        <f>(((O87/30)/8)/60)</f>
        <v>1.25</v>
      </c>
    </row>
    <row r="90" spans="1:18">
      <c r="A90" s="175"/>
      <c r="B90" s="176"/>
      <c r="C90" s="100"/>
      <c r="D90" s="100"/>
      <c r="E90" s="8"/>
      <c r="F90" s="38"/>
      <c r="G90" s="36"/>
      <c r="H90" s="41"/>
      <c r="I90" s="42"/>
      <c r="J90" s="43"/>
      <c r="K90" s="39"/>
      <c r="L90" s="40"/>
      <c r="M90" s="171" t="s">
        <v>23</v>
      </c>
      <c r="N90" s="18"/>
    </row>
    <row r="91" spans="1:18">
      <c r="A91" s="83"/>
      <c r="B91" s="37"/>
      <c r="C91" s="80"/>
      <c r="D91" s="80"/>
      <c r="E91" s="8"/>
      <c r="F91" s="38"/>
      <c r="G91" s="36"/>
      <c r="H91" s="41"/>
      <c r="I91" s="42"/>
      <c r="J91" s="43"/>
      <c r="K91" s="39"/>
      <c r="L91" s="40"/>
      <c r="M91" s="172"/>
      <c r="N91" s="18"/>
      <c r="O91" s="87"/>
    </row>
    <row r="92" spans="1:18" ht="16.5">
      <c r="A92" s="41"/>
      <c r="B92" s="46"/>
      <c r="C92" s="47"/>
      <c r="D92" s="12"/>
      <c r="E92" s="8"/>
      <c r="F92" s="38"/>
      <c r="G92" s="36"/>
      <c r="H92" s="41"/>
      <c r="I92" s="42"/>
      <c r="J92" s="43"/>
      <c r="K92" s="39"/>
      <c r="L92" s="40"/>
      <c r="M92" s="161">
        <f>E95-J95</f>
        <v>17125</v>
      </c>
      <c r="N92" s="49"/>
    </row>
    <row r="93" spans="1:18" ht="16.5">
      <c r="A93" s="41"/>
      <c r="B93" s="46"/>
      <c r="C93" s="47"/>
      <c r="D93" s="12"/>
      <c r="E93" s="8"/>
      <c r="F93" s="38"/>
      <c r="G93" s="36"/>
      <c r="H93" s="41"/>
      <c r="I93" s="42"/>
      <c r="J93" s="43"/>
      <c r="K93" s="39"/>
      <c r="L93" s="40"/>
      <c r="M93" s="162"/>
      <c r="N93" s="49"/>
    </row>
    <row r="94" spans="1:18">
      <c r="A94" s="50"/>
      <c r="B94" s="51"/>
      <c r="C94" s="52"/>
      <c r="D94" s="52"/>
      <c r="E94" s="101"/>
      <c r="F94" s="102"/>
      <c r="G94" s="53"/>
      <c r="H94" s="54"/>
      <c r="I94" s="51"/>
      <c r="J94" s="55"/>
      <c r="K94" s="56"/>
      <c r="L94" s="57"/>
      <c r="M94" s="7"/>
      <c r="N94" s="7"/>
    </row>
    <row r="95" spans="1:18">
      <c r="A95" s="58"/>
      <c r="B95" s="59"/>
      <c r="C95" s="60"/>
      <c r="D95" s="163" t="s">
        <v>24</v>
      </c>
      <c r="E95" s="193">
        <f>SUM(F88:F91)</f>
        <v>18000</v>
      </c>
      <c r="F95" s="193"/>
      <c r="G95" s="62"/>
      <c r="H95" s="167" t="s">
        <v>25</v>
      </c>
      <c r="I95" s="163"/>
      <c r="J95" s="165">
        <f>SUM(J88:J94)</f>
        <v>875</v>
      </c>
      <c r="K95" s="62"/>
      <c r="L95" s="57"/>
      <c r="M95" s="63"/>
      <c r="N95" s="64"/>
    </row>
    <row r="96" spans="1:18">
      <c r="A96" s="65"/>
      <c r="B96" s="66"/>
      <c r="C96" s="66"/>
      <c r="D96" s="164"/>
      <c r="E96" s="194"/>
      <c r="F96" s="194"/>
      <c r="G96" s="68"/>
      <c r="H96" s="168"/>
      <c r="I96" s="164"/>
      <c r="J96" s="166"/>
      <c r="K96" s="68"/>
      <c r="L96" s="57"/>
      <c r="M96" s="46" t="s">
        <v>26</v>
      </c>
      <c r="N96" s="64"/>
    </row>
    <row r="97" spans="1:18">
      <c r="A97" s="177" t="s">
        <v>0</v>
      </c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71"/>
    </row>
    <row r="98" spans="1:18">
      <c r="A98" s="178" t="s">
        <v>1</v>
      </c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3"/>
    </row>
    <row r="99" spans="1:18">
      <c r="A99" s="178" t="s">
        <v>2</v>
      </c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3"/>
      <c r="Q99" t="s">
        <v>11</v>
      </c>
    </row>
    <row r="100" spans="1:1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8" ht="15" customHeight="1">
      <c r="A101" s="179" t="s">
        <v>3</v>
      </c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3"/>
    </row>
    <row r="102" spans="1:18" ht="15" customHeight="1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3"/>
      <c r="N102" s="3"/>
    </row>
    <row r="103" spans="1:18">
      <c r="A103" s="5" t="s">
        <v>4</v>
      </c>
      <c r="B103" s="176">
        <v>202139</v>
      </c>
      <c r="C103" s="176"/>
      <c r="D103" s="5" t="s">
        <v>5</v>
      </c>
      <c r="E103" s="176" t="s">
        <v>46</v>
      </c>
      <c r="F103" s="176"/>
      <c r="G103" s="7"/>
      <c r="H103" s="5" t="s">
        <v>7</v>
      </c>
      <c r="I103" s="6" t="s">
        <v>47</v>
      </c>
      <c r="J103" s="181" t="s">
        <v>9</v>
      </c>
      <c r="K103" s="181"/>
      <c r="L103" s="181"/>
      <c r="M103" s="8" t="s">
        <v>48</v>
      </c>
      <c r="N103" s="8"/>
      <c r="O103" s="72">
        <v>6</v>
      </c>
    </row>
    <row r="104" spans="1:18">
      <c r="A104" s="10"/>
      <c r="B104" s="10"/>
      <c r="C104" s="11"/>
      <c r="D104" s="5"/>
      <c r="E104" s="5"/>
      <c r="F104" s="12"/>
      <c r="G104" s="12"/>
      <c r="H104" s="5"/>
      <c r="I104" s="11"/>
      <c r="J104" s="13"/>
      <c r="K104" s="13"/>
      <c r="L104" s="13"/>
      <c r="M104" s="12"/>
      <c r="N104" s="12"/>
      <c r="O104" s="73"/>
    </row>
    <row r="105" spans="1:18">
      <c r="A105" s="167" t="s">
        <v>12</v>
      </c>
      <c r="B105" s="163"/>
      <c r="C105" s="14"/>
      <c r="D105" s="163" t="s">
        <v>13</v>
      </c>
      <c r="E105" s="163" t="s">
        <v>49</v>
      </c>
      <c r="F105" s="163" t="s">
        <v>14</v>
      </c>
      <c r="G105" s="191"/>
      <c r="H105" s="167" t="s">
        <v>15</v>
      </c>
      <c r="I105" s="163" t="s">
        <v>13</v>
      </c>
      <c r="J105" s="169" t="s">
        <v>14</v>
      </c>
      <c r="K105" s="16"/>
      <c r="L105" s="17"/>
      <c r="M105" s="171" t="s">
        <v>16</v>
      </c>
      <c r="N105" s="18"/>
      <c r="O105" s="74" t="s">
        <v>30</v>
      </c>
    </row>
    <row r="106" spans="1:18">
      <c r="A106" s="168"/>
      <c r="B106" s="164"/>
      <c r="C106" s="19"/>
      <c r="D106" s="164"/>
      <c r="E106" s="164"/>
      <c r="F106" s="164"/>
      <c r="G106" s="192"/>
      <c r="H106" s="168"/>
      <c r="I106" s="164"/>
      <c r="J106" s="170"/>
      <c r="K106" s="21"/>
      <c r="L106" s="17"/>
      <c r="M106" s="172"/>
      <c r="N106" s="18"/>
      <c r="O106" s="75">
        <f>F107</f>
        <v>25000</v>
      </c>
    </row>
    <row r="107" spans="1:18">
      <c r="A107" s="173" t="s">
        <v>17</v>
      </c>
      <c r="B107" s="174"/>
      <c r="C107" s="23"/>
      <c r="D107" s="103"/>
      <c r="E107" s="103"/>
      <c r="F107" s="104">
        <f>'[1]สรุปอินฟินิท เบรน68'!F81</f>
        <v>25000</v>
      </c>
      <c r="G107" s="25"/>
      <c r="H107" s="22" t="s">
        <v>18</v>
      </c>
      <c r="I107" s="95">
        <v>0.05</v>
      </c>
      <c r="J107" s="27">
        <f>IF(F107&lt;17500,F107*5%,17500*5%)</f>
        <v>875</v>
      </c>
      <c r="K107" s="25"/>
      <c r="L107" s="28"/>
      <c r="M107" s="78" t="str">
        <f>M11</f>
        <v>31 มกราคม 2569</v>
      </c>
      <c r="N107" s="79"/>
      <c r="O107" s="74" t="s">
        <v>31</v>
      </c>
    </row>
    <row r="108" spans="1:18">
      <c r="A108" s="175"/>
      <c r="B108" s="176"/>
      <c r="C108" s="105"/>
      <c r="D108" s="106"/>
      <c r="E108" s="107"/>
      <c r="F108" s="108"/>
      <c r="G108" s="36"/>
      <c r="H108" s="109" t="s">
        <v>50</v>
      </c>
      <c r="I108" s="110">
        <v>148</v>
      </c>
      <c r="J108" s="108">
        <f>I108*O108</f>
        <v>256.94444444444446</v>
      </c>
      <c r="K108" s="39"/>
      <c r="L108" s="40"/>
      <c r="M108" s="17"/>
      <c r="N108" s="17"/>
      <c r="O108" s="85">
        <f>(((O106/30)/8)/60)</f>
        <v>1.7361111111111112</v>
      </c>
    </row>
    <row r="109" spans="1:18">
      <c r="A109" s="159"/>
      <c r="B109" s="160"/>
      <c r="C109" s="96"/>
      <c r="D109" s="106"/>
      <c r="E109" s="106"/>
      <c r="F109" s="108"/>
      <c r="G109" s="36"/>
      <c r="H109" s="112"/>
      <c r="I109" s="42"/>
      <c r="J109" s="97"/>
      <c r="K109" s="39"/>
      <c r="L109" s="40"/>
      <c r="M109" s="171" t="s">
        <v>23</v>
      </c>
      <c r="N109" s="18"/>
    </row>
    <row r="110" spans="1:18" ht="16.5" customHeight="1">
      <c r="A110" s="159"/>
      <c r="B110" s="160"/>
      <c r="C110" s="80"/>
      <c r="D110" s="80"/>
      <c r="E110" s="80"/>
      <c r="F110" s="113"/>
      <c r="G110" s="36"/>
      <c r="H110" s="41"/>
      <c r="I110" s="42"/>
      <c r="J110" s="43"/>
      <c r="K110" s="39"/>
      <c r="L110" s="40"/>
      <c r="M110" s="172"/>
      <c r="N110" s="18"/>
      <c r="O110" s="87"/>
      <c r="P110" s="8"/>
      <c r="Q110" s="114"/>
      <c r="R110" s="38"/>
    </row>
    <row r="111" spans="1:18" ht="17.100000000000001" customHeight="1">
      <c r="A111" s="159"/>
      <c r="B111" s="160"/>
      <c r="C111" s="47"/>
      <c r="D111" s="12" t="s">
        <v>11</v>
      </c>
      <c r="E111" s="12"/>
      <c r="F111" s="115"/>
      <c r="G111" s="36"/>
      <c r="H111" s="41"/>
      <c r="I111" s="42"/>
      <c r="J111" s="43"/>
      <c r="K111" s="39"/>
      <c r="L111" s="40"/>
      <c r="M111" s="161">
        <f>F114-J114</f>
        <v>23868.055555555555</v>
      </c>
      <c r="N111" s="49"/>
    </row>
    <row r="112" spans="1:18" ht="16.5">
      <c r="A112" s="159"/>
      <c r="B112" s="160"/>
      <c r="C112" s="47"/>
      <c r="D112" s="12"/>
      <c r="E112" s="12"/>
      <c r="F112" s="115"/>
      <c r="G112" s="36"/>
      <c r="H112" s="41"/>
      <c r="I112" s="42"/>
      <c r="J112" s="43"/>
      <c r="K112" s="39"/>
      <c r="L112" s="40"/>
      <c r="M112" s="162"/>
      <c r="N112" s="49"/>
    </row>
    <row r="113" spans="1:17">
      <c r="A113" s="159"/>
      <c r="B113" s="160"/>
      <c r="C113" s="52"/>
      <c r="D113" s="52"/>
      <c r="E113" s="52"/>
      <c r="F113" s="116"/>
      <c r="G113" s="53"/>
      <c r="H113" s="54"/>
      <c r="I113" s="51"/>
      <c r="J113" s="55"/>
      <c r="K113" s="56"/>
      <c r="L113" s="57"/>
      <c r="M113" s="7"/>
      <c r="N113" s="7"/>
    </row>
    <row r="114" spans="1:17">
      <c r="A114" s="58"/>
      <c r="B114" s="59"/>
      <c r="C114" s="60"/>
      <c r="D114" s="163" t="s">
        <v>24</v>
      </c>
      <c r="E114" s="117"/>
      <c r="F114" s="165">
        <f>F107+F108</f>
        <v>25000</v>
      </c>
      <c r="G114" s="62"/>
      <c r="H114" s="167" t="s">
        <v>25</v>
      </c>
      <c r="I114" s="163"/>
      <c r="J114" s="165">
        <f>SUM(J107:J113)</f>
        <v>1131.9444444444443</v>
      </c>
      <c r="K114" s="62"/>
      <c r="L114" s="57"/>
      <c r="M114" s="118"/>
      <c r="N114" s="64"/>
    </row>
    <row r="115" spans="1:17">
      <c r="A115" s="65"/>
      <c r="B115" s="66"/>
      <c r="C115" s="66"/>
      <c r="D115" s="164"/>
      <c r="E115" s="119"/>
      <c r="F115" s="166"/>
      <c r="G115" s="68"/>
      <c r="H115" s="168"/>
      <c r="I115" s="164"/>
      <c r="J115" s="166"/>
      <c r="K115" s="68"/>
      <c r="L115" s="57"/>
      <c r="M115" s="46" t="s">
        <v>26</v>
      </c>
      <c r="N115" s="64"/>
      <c r="Q115" t="s">
        <v>11</v>
      </c>
    </row>
    <row r="116" spans="1:17">
      <c r="A116" s="177" t="s">
        <v>0</v>
      </c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71"/>
    </row>
    <row r="117" spans="1:17">
      <c r="A117" s="178" t="s">
        <v>1</v>
      </c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3"/>
    </row>
    <row r="118" spans="1:17">
      <c r="A118" s="178" t="s">
        <v>2</v>
      </c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3"/>
      <c r="P118" s="120"/>
    </row>
    <row r="119" spans="1:1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7" ht="15.6" customHeight="1">
      <c r="A120" s="179" t="s">
        <v>3</v>
      </c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3"/>
    </row>
    <row r="121" spans="1:17" ht="15.6" customHeight="1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3"/>
      <c r="N121" s="3"/>
    </row>
    <row r="122" spans="1:17">
      <c r="A122" s="5" t="s">
        <v>4</v>
      </c>
      <c r="B122" s="176">
        <v>202141</v>
      </c>
      <c r="C122" s="176"/>
      <c r="D122" s="5" t="s">
        <v>5</v>
      </c>
      <c r="E122" s="180" t="s">
        <v>51</v>
      </c>
      <c r="F122" s="180"/>
      <c r="G122" s="7"/>
      <c r="H122" s="5" t="s">
        <v>7</v>
      </c>
      <c r="I122" s="6" t="s">
        <v>52</v>
      </c>
      <c r="J122" s="181" t="s">
        <v>9</v>
      </c>
      <c r="K122" s="181"/>
      <c r="L122" s="181"/>
      <c r="M122" s="8" t="s">
        <v>53</v>
      </c>
      <c r="N122" s="8"/>
      <c r="O122" s="72">
        <v>7</v>
      </c>
    </row>
    <row r="123" spans="1:17">
      <c r="A123" s="10"/>
      <c r="B123" s="10"/>
      <c r="C123" s="11"/>
      <c r="D123" s="5"/>
      <c r="E123" s="5"/>
      <c r="F123" s="12"/>
      <c r="G123" s="12"/>
      <c r="H123" s="5"/>
      <c r="I123" s="11"/>
      <c r="J123" s="13"/>
      <c r="K123" s="13"/>
      <c r="L123" s="13"/>
      <c r="M123" s="12"/>
      <c r="N123" s="12"/>
      <c r="O123" s="73"/>
    </row>
    <row r="124" spans="1:17">
      <c r="A124" s="167" t="s">
        <v>12</v>
      </c>
      <c r="B124" s="163"/>
      <c r="C124" s="14"/>
      <c r="D124" s="169" t="s">
        <v>13</v>
      </c>
      <c r="E124" s="169" t="s">
        <v>14</v>
      </c>
      <c r="F124" s="169"/>
      <c r="G124" s="16"/>
      <c r="H124" s="167" t="s">
        <v>15</v>
      </c>
      <c r="I124" s="163" t="s">
        <v>13</v>
      </c>
      <c r="J124" s="169" t="s">
        <v>14</v>
      </c>
      <c r="K124" s="16"/>
      <c r="L124" s="17"/>
      <c r="M124" s="171" t="s">
        <v>16</v>
      </c>
      <c r="N124" s="18"/>
      <c r="O124" s="74" t="s">
        <v>30</v>
      </c>
    </row>
    <row r="125" spans="1:17">
      <c r="A125" s="168"/>
      <c r="B125" s="164"/>
      <c r="C125" s="19"/>
      <c r="D125" s="170"/>
      <c r="E125" s="170"/>
      <c r="F125" s="170"/>
      <c r="G125" s="21"/>
      <c r="H125" s="168"/>
      <c r="I125" s="164"/>
      <c r="J125" s="170"/>
      <c r="K125" s="21"/>
      <c r="L125" s="17"/>
      <c r="M125" s="172"/>
      <c r="N125" s="18"/>
      <c r="O125" s="75">
        <f>F126+F127</f>
        <v>20000</v>
      </c>
    </row>
    <row r="126" spans="1:17">
      <c r="A126" s="173" t="s">
        <v>17</v>
      </c>
      <c r="B126" s="174"/>
      <c r="C126" s="23"/>
      <c r="D126" s="103"/>
      <c r="E126" s="103"/>
      <c r="F126" s="104">
        <f>'[1]สรุปอินฟินิท เบรน68'!F82</f>
        <v>20000</v>
      </c>
      <c r="G126" s="25"/>
      <c r="H126" s="22" t="s">
        <v>18</v>
      </c>
      <c r="I126" s="95">
        <v>0.05</v>
      </c>
      <c r="J126" s="27">
        <f>IF(F126&lt;17500,F126*5%,17500*5%)</f>
        <v>875</v>
      </c>
      <c r="K126" s="25"/>
      <c r="L126" s="28"/>
      <c r="M126" s="78" t="str">
        <f>M11</f>
        <v>31 มกราคม 2569</v>
      </c>
      <c r="N126" s="79"/>
      <c r="O126" s="74" t="s">
        <v>31</v>
      </c>
    </row>
    <row r="127" spans="1:17">
      <c r="A127" s="190"/>
      <c r="B127" s="180"/>
      <c r="C127" s="80"/>
      <c r="D127" s="121"/>
      <c r="E127" s="122"/>
      <c r="F127" s="108"/>
      <c r="G127" s="36"/>
      <c r="H127" s="109"/>
      <c r="I127" s="123"/>
      <c r="J127" s="108"/>
      <c r="K127" s="39"/>
      <c r="L127" s="40"/>
      <c r="M127" s="17"/>
      <c r="N127" s="17"/>
      <c r="O127" s="85">
        <f>(((O125/30)/8)/60)</f>
        <v>1.3888888888888888</v>
      </c>
    </row>
    <row r="128" spans="1:17">
      <c r="A128" s="190"/>
      <c r="B128" s="180"/>
      <c r="C128" s="80"/>
      <c r="D128" s="124"/>
      <c r="E128" s="122"/>
      <c r="F128" s="108"/>
      <c r="G128" s="36"/>
      <c r="H128" s="33"/>
      <c r="I128" s="93"/>
      <c r="J128" s="38"/>
      <c r="K128" s="39"/>
      <c r="L128" s="40"/>
      <c r="M128" s="171" t="s">
        <v>23</v>
      </c>
      <c r="N128" s="18"/>
    </row>
    <row r="129" spans="1:15" ht="16.5" customHeight="1">
      <c r="A129" s="175"/>
      <c r="B129" s="176"/>
      <c r="C129" s="80"/>
      <c r="D129" s="80"/>
      <c r="E129" s="80"/>
      <c r="F129" s="113"/>
      <c r="G129" s="36"/>
      <c r="H129" s="41"/>
      <c r="I129" s="42"/>
      <c r="J129" s="43"/>
      <c r="K129" s="39"/>
      <c r="L129" s="40"/>
      <c r="M129" s="172"/>
      <c r="N129" s="18"/>
      <c r="O129" s="87"/>
    </row>
    <row r="130" spans="1:15" ht="17.100000000000001" customHeight="1">
      <c r="A130" s="175"/>
      <c r="B130" s="176"/>
      <c r="C130" s="47"/>
      <c r="D130" s="12"/>
      <c r="E130" s="12"/>
      <c r="F130" s="115"/>
      <c r="G130" s="36"/>
      <c r="H130" s="41"/>
      <c r="I130" s="42"/>
      <c r="J130" s="43"/>
      <c r="K130" s="39"/>
      <c r="L130" s="40"/>
      <c r="M130" s="161">
        <f>F133-J133</f>
        <v>19125</v>
      </c>
      <c r="N130" s="49"/>
    </row>
    <row r="131" spans="1:15" ht="16.5">
      <c r="A131" s="175"/>
      <c r="B131" s="176"/>
      <c r="C131" s="47"/>
      <c r="D131" s="12"/>
      <c r="E131" s="12"/>
      <c r="F131" s="115"/>
      <c r="G131" s="36"/>
      <c r="H131" s="41"/>
      <c r="I131" s="42"/>
      <c r="J131" s="43"/>
      <c r="K131" s="39"/>
      <c r="L131" s="40"/>
      <c r="M131" s="162"/>
      <c r="N131" s="49"/>
    </row>
    <row r="132" spans="1:15">
      <c r="A132" s="184"/>
      <c r="B132" s="185"/>
      <c r="C132" s="52"/>
      <c r="D132" s="52"/>
      <c r="E132" s="52"/>
      <c r="F132" s="116"/>
      <c r="G132" s="53"/>
      <c r="H132" s="54"/>
      <c r="I132" s="51"/>
      <c r="J132" s="55"/>
      <c r="K132" s="56"/>
      <c r="L132" s="57"/>
      <c r="M132" s="7"/>
      <c r="N132" s="7"/>
    </row>
    <row r="133" spans="1:15">
      <c r="A133" s="58"/>
      <c r="B133" s="59"/>
      <c r="C133" s="60"/>
      <c r="D133" s="163" t="s">
        <v>24</v>
      </c>
      <c r="E133" s="117"/>
      <c r="F133" s="165">
        <f>SUM(F126:F132)</f>
        <v>20000</v>
      </c>
      <c r="G133" s="62"/>
      <c r="H133" s="167" t="s">
        <v>25</v>
      </c>
      <c r="I133" s="163"/>
      <c r="J133" s="165">
        <f>SUM(J126:J132)</f>
        <v>875</v>
      </c>
      <c r="K133" s="62"/>
      <c r="L133" s="57"/>
      <c r="M133" s="118"/>
      <c r="N133" s="64"/>
    </row>
    <row r="134" spans="1:15">
      <c r="A134" s="65"/>
      <c r="B134" s="66"/>
      <c r="C134" s="66"/>
      <c r="D134" s="164"/>
      <c r="E134" s="119"/>
      <c r="F134" s="166"/>
      <c r="G134" s="68"/>
      <c r="H134" s="168"/>
      <c r="I134" s="164"/>
      <c r="J134" s="166"/>
      <c r="K134" s="68"/>
      <c r="L134" s="57"/>
      <c r="M134" s="46" t="s">
        <v>26</v>
      </c>
      <c r="N134" s="64"/>
    </row>
    <row r="135" spans="1:15">
      <c r="A135" s="177" t="s">
        <v>0</v>
      </c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71"/>
    </row>
    <row r="136" spans="1:15">
      <c r="A136" s="178" t="s">
        <v>1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3"/>
    </row>
    <row r="137" spans="1:15">
      <c r="A137" s="178" t="s">
        <v>2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5" ht="15" customHeight="1">
      <c r="A139" s="179" t="s">
        <v>3</v>
      </c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3"/>
    </row>
    <row r="140" spans="1:15" ht="15" customHeight="1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3"/>
      <c r="N140" s="3"/>
    </row>
    <row r="141" spans="1:15">
      <c r="A141" s="5" t="s">
        <v>4</v>
      </c>
      <c r="B141" s="6">
        <v>202147</v>
      </c>
      <c r="D141" s="5" t="s">
        <v>5</v>
      </c>
      <c r="E141" s="176" t="s">
        <v>54</v>
      </c>
      <c r="F141" s="176"/>
      <c r="G141" s="7"/>
      <c r="H141" s="5" t="s">
        <v>7</v>
      </c>
      <c r="I141" s="6" t="s">
        <v>55</v>
      </c>
      <c r="J141" s="181" t="s">
        <v>9</v>
      </c>
      <c r="K141" s="181"/>
      <c r="L141" s="181"/>
      <c r="M141" s="80"/>
      <c r="N141" s="8"/>
      <c r="O141" s="72">
        <v>8</v>
      </c>
    </row>
    <row r="142" spans="1:15">
      <c r="A142" s="10"/>
      <c r="B142" s="10"/>
      <c r="C142" s="11"/>
      <c r="D142" s="5"/>
      <c r="E142" s="5"/>
      <c r="F142" s="12"/>
      <c r="G142" s="12"/>
      <c r="H142" s="5"/>
      <c r="I142" s="11"/>
      <c r="J142" s="13"/>
      <c r="K142" s="13"/>
      <c r="L142" s="13"/>
      <c r="M142" s="12"/>
      <c r="N142" s="12"/>
      <c r="O142" s="73"/>
    </row>
    <row r="143" spans="1:15">
      <c r="A143" s="167" t="s">
        <v>12</v>
      </c>
      <c r="B143" s="163"/>
      <c r="C143" s="14"/>
      <c r="D143" s="169" t="s">
        <v>13</v>
      </c>
      <c r="E143" s="169" t="s">
        <v>14</v>
      </c>
      <c r="F143" s="169"/>
      <c r="G143" s="16"/>
      <c r="H143" s="167" t="s">
        <v>15</v>
      </c>
      <c r="I143" s="163" t="s">
        <v>13</v>
      </c>
      <c r="J143" s="169" t="s">
        <v>14</v>
      </c>
      <c r="K143" s="16"/>
      <c r="L143" s="17"/>
      <c r="M143" s="171" t="s">
        <v>16</v>
      </c>
      <c r="N143" s="18"/>
      <c r="O143" s="74" t="s">
        <v>30</v>
      </c>
    </row>
    <row r="144" spans="1:15">
      <c r="A144" s="168"/>
      <c r="B144" s="164"/>
      <c r="C144" s="19"/>
      <c r="D144" s="170"/>
      <c r="E144" s="170"/>
      <c r="F144" s="170"/>
      <c r="G144" s="21"/>
      <c r="H144" s="168"/>
      <c r="I144" s="164"/>
      <c r="J144" s="170"/>
      <c r="K144" s="21"/>
      <c r="L144" s="17"/>
      <c r="M144" s="172"/>
      <c r="N144" s="18"/>
      <c r="O144" s="75">
        <f>F145</f>
        <v>17500</v>
      </c>
    </row>
    <row r="145" spans="1:18">
      <c r="A145" s="188" t="s">
        <v>17</v>
      </c>
      <c r="B145" s="189"/>
      <c r="C145" s="23"/>
      <c r="D145" s="23"/>
      <c r="E145" s="23"/>
      <c r="F145" s="104">
        <v>17500</v>
      </c>
      <c r="G145" s="25"/>
      <c r="H145" s="22" t="s">
        <v>18</v>
      </c>
      <c r="I145" s="26">
        <v>0.05</v>
      </c>
      <c r="J145" s="27">
        <f>IF(F145&lt;17500,F145*5%,17500*5%)</f>
        <v>875</v>
      </c>
      <c r="K145" s="25"/>
      <c r="L145" s="28"/>
      <c r="M145" s="78" t="str">
        <f>M11</f>
        <v>31 มกราคม 2569</v>
      </c>
      <c r="N145" s="79"/>
      <c r="O145" s="74" t="s">
        <v>31</v>
      </c>
    </row>
    <row r="146" spans="1:18">
      <c r="A146" s="159"/>
      <c r="B146" s="160"/>
      <c r="C146" s="80"/>
      <c r="D146" s="86"/>
      <c r="E146" s="86"/>
      <c r="F146" s="113"/>
      <c r="G146" s="36"/>
      <c r="H146" s="125"/>
      <c r="I146" s="37"/>
      <c r="J146" s="113"/>
      <c r="K146" s="39"/>
      <c r="L146" s="40"/>
      <c r="M146" s="17"/>
      <c r="N146" s="17"/>
      <c r="O146" s="126">
        <f>(((O144/30)/8)/60)</f>
        <v>1.2152777777777779</v>
      </c>
    </row>
    <row r="147" spans="1:18">
      <c r="A147" s="159"/>
      <c r="B147" s="160"/>
      <c r="C147" s="100"/>
      <c r="D147" s="100"/>
      <c r="E147" s="100"/>
      <c r="G147" s="36"/>
      <c r="H147" s="41"/>
      <c r="I147" s="42"/>
      <c r="J147" s="43"/>
      <c r="K147" s="39"/>
      <c r="L147" s="40"/>
      <c r="M147" s="171" t="s">
        <v>23</v>
      </c>
      <c r="N147" s="18"/>
    </row>
    <row r="148" spans="1:18" ht="16.5" customHeight="1">
      <c r="A148" s="159"/>
      <c r="B148" s="160"/>
      <c r="C148" s="80"/>
      <c r="D148" s="80"/>
      <c r="E148" s="80"/>
      <c r="F148" s="113"/>
      <c r="G148" s="36"/>
      <c r="H148" s="41"/>
      <c r="I148" s="42"/>
      <c r="J148" s="43"/>
      <c r="K148" s="39"/>
      <c r="L148" s="40"/>
      <c r="M148" s="172"/>
      <c r="N148" s="18"/>
      <c r="O148" s="87"/>
    </row>
    <row r="149" spans="1:18" ht="17.100000000000001" customHeight="1">
      <c r="A149" s="159"/>
      <c r="B149" s="160"/>
      <c r="C149" s="47"/>
      <c r="D149" s="12"/>
      <c r="E149" s="12"/>
      <c r="F149" s="115"/>
      <c r="G149" s="36"/>
      <c r="H149" s="41"/>
      <c r="I149" s="42"/>
      <c r="J149" s="43"/>
      <c r="K149" s="39"/>
      <c r="L149" s="40"/>
      <c r="M149" s="161">
        <f>F152-J152</f>
        <v>16625</v>
      </c>
      <c r="N149" s="49"/>
      <c r="R149" t="s">
        <v>11</v>
      </c>
    </row>
    <row r="150" spans="1:18" ht="16.5">
      <c r="A150" s="159"/>
      <c r="B150" s="160"/>
      <c r="C150" s="47"/>
      <c r="D150" s="12"/>
      <c r="E150" s="12"/>
      <c r="F150" s="115"/>
      <c r="G150" s="36"/>
      <c r="H150" s="41"/>
      <c r="I150" s="42"/>
      <c r="J150" s="43"/>
      <c r="K150" s="39"/>
      <c r="L150" s="40"/>
      <c r="M150" s="162"/>
      <c r="N150" s="49"/>
    </row>
    <row r="151" spans="1:18">
      <c r="A151" s="186"/>
      <c r="B151" s="187"/>
      <c r="C151" s="52"/>
      <c r="D151" s="52"/>
      <c r="E151" s="52"/>
      <c r="F151" s="116"/>
      <c r="G151" s="53"/>
      <c r="H151" s="54"/>
      <c r="I151" s="51"/>
      <c r="J151" s="55"/>
      <c r="K151" s="56"/>
      <c r="L151" s="57"/>
      <c r="M151" s="7"/>
      <c r="N151" s="7"/>
    </row>
    <row r="152" spans="1:18">
      <c r="A152" s="58"/>
      <c r="B152" s="59"/>
      <c r="C152" s="60"/>
      <c r="D152" s="163" t="s">
        <v>24</v>
      </c>
      <c r="E152" s="117"/>
      <c r="F152" s="165">
        <f>SUM(F145:F151)</f>
        <v>17500</v>
      </c>
      <c r="G152" s="62"/>
      <c r="H152" s="167" t="s">
        <v>25</v>
      </c>
      <c r="I152" s="163"/>
      <c r="J152" s="165">
        <f>SUM(J145:J151)</f>
        <v>875</v>
      </c>
      <c r="K152" s="62"/>
      <c r="L152" s="57"/>
      <c r="M152" s="118"/>
      <c r="N152" s="64"/>
    </row>
    <row r="153" spans="1:18">
      <c r="A153" s="65"/>
      <c r="B153" s="66"/>
      <c r="C153" s="66"/>
      <c r="D153" s="164"/>
      <c r="E153" s="119"/>
      <c r="F153" s="166"/>
      <c r="G153" s="68"/>
      <c r="H153" s="168"/>
      <c r="I153" s="164"/>
      <c r="J153" s="166"/>
      <c r="K153" s="68"/>
      <c r="L153" s="57"/>
      <c r="M153" s="46" t="s">
        <v>26</v>
      </c>
      <c r="N153" s="64"/>
    </row>
    <row r="154" spans="1:18">
      <c r="A154" s="177" t="s">
        <v>0</v>
      </c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</row>
    <row r="155" spans="1:18" ht="14.45" customHeight="1">
      <c r="A155" s="178" t="s">
        <v>1</v>
      </c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</row>
    <row r="156" spans="1:18">
      <c r="A156" s="178" t="s">
        <v>2</v>
      </c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</row>
    <row r="157" spans="1:18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8" ht="12" customHeight="1">
      <c r="A158" s="179" t="s">
        <v>3</v>
      </c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</row>
    <row r="159" spans="1:18" ht="14.1" customHeight="1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3"/>
    </row>
    <row r="160" spans="1:18">
      <c r="A160" s="5" t="s">
        <v>4</v>
      </c>
      <c r="B160" s="6">
        <v>202151</v>
      </c>
      <c r="D160" s="5" t="s">
        <v>5</v>
      </c>
      <c r="E160" s="8" t="s">
        <v>56</v>
      </c>
      <c r="F160" s="80"/>
      <c r="G160" s="7"/>
      <c r="H160" s="5" t="s">
        <v>7</v>
      </c>
      <c r="I160" s="6" t="s">
        <v>33</v>
      </c>
      <c r="J160" s="181" t="s">
        <v>9</v>
      </c>
      <c r="K160" s="181"/>
      <c r="L160" s="181"/>
      <c r="M160" s="8" t="s">
        <v>57</v>
      </c>
      <c r="O160" s="72">
        <v>9</v>
      </c>
    </row>
    <row r="161" spans="1:15">
      <c r="A161" s="10"/>
      <c r="B161" s="10"/>
      <c r="C161" s="11"/>
      <c r="D161" s="5"/>
      <c r="E161" s="5"/>
      <c r="F161" s="12"/>
      <c r="G161" s="12"/>
      <c r="H161" s="5"/>
      <c r="I161" s="11"/>
      <c r="J161" s="13"/>
      <c r="K161" s="13"/>
      <c r="L161" s="13"/>
      <c r="M161" s="12"/>
      <c r="O161" s="73"/>
    </row>
    <row r="162" spans="1:15">
      <c r="A162" s="167" t="s">
        <v>12</v>
      </c>
      <c r="B162" s="163"/>
      <c r="C162" s="14"/>
      <c r="D162" s="163" t="s">
        <v>42</v>
      </c>
      <c r="E162" s="163" t="s">
        <v>43</v>
      </c>
      <c r="F162" s="163" t="s">
        <v>14</v>
      </c>
      <c r="G162" s="16"/>
      <c r="H162" s="167" t="s">
        <v>15</v>
      </c>
      <c r="I162" s="163" t="s">
        <v>13</v>
      </c>
      <c r="J162" s="169" t="s">
        <v>14</v>
      </c>
      <c r="K162" s="16"/>
      <c r="L162" s="17"/>
      <c r="M162" s="171" t="s">
        <v>16</v>
      </c>
      <c r="O162" s="74" t="s">
        <v>30</v>
      </c>
    </row>
    <row r="163" spans="1:15">
      <c r="A163" s="168"/>
      <c r="B163" s="164"/>
      <c r="C163" s="19"/>
      <c r="D163" s="164"/>
      <c r="E163" s="164"/>
      <c r="F163" s="164"/>
      <c r="G163" s="21"/>
      <c r="H163" s="168"/>
      <c r="I163" s="164"/>
      <c r="J163" s="170"/>
      <c r="K163" s="21"/>
      <c r="L163" s="17"/>
      <c r="M163" s="172"/>
      <c r="O163" s="75">
        <f>F164</f>
        <v>15200</v>
      </c>
    </row>
    <row r="164" spans="1:15">
      <c r="A164" s="173" t="s">
        <v>17</v>
      </c>
      <c r="B164" s="174"/>
      <c r="C164" s="127"/>
      <c r="D164" s="93">
        <v>800</v>
      </c>
      <c r="E164" s="93">
        <v>19</v>
      </c>
      <c r="F164" s="76">
        <f>D164*E164</f>
        <v>15200</v>
      </c>
      <c r="G164" s="25"/>
      <c r="H164" s="22" t="s">
        <v>38</v>
      </c>
      <c r="I164" s="95">
        <v>0.03</v>
      </c>
      <c r="J164" s="27">
        <f>F171*3%</f>
        <v>456</v>
      </c>
      <c r="K164" s="25"/>
      <c r="L164" s="28"/>
      <c r="M164" s="78" t="str">
        <f>M11</f>
        <v>31 มกราคม 2569</v>
      </c>
      <c r="O164" s="74" t="s">
        <v>31</v>
      </c>
    </row>
    <row r="165" spans="1:15">
      <c r="A165" s="175"/>
      <c r="B165" s="176"/>
      <c r="C165" s="80"/>
      <c r="D165" s="94"/>
      <c r="E165" s="82"/>
      <c r="F165" s="82"/>
      <c r="G165" s="36"/>
      <c r="H165" s="33"/>
      <c r="I165" s="93"/>
      <c r="J165" s="108"/>
      <c r="K165" s="39"/>
      <c r="L165" s="40"/>
      <c r="M165" s="128"/>
      <c r="O165" s="85">
        <f>(((O163/30)/8)/60)</f>
        <v>1.0555555555555556</v>
      </c>
    </row>
    <row r="166" spans="1:15">
      <c r="A166" s="182"/>
      <c r="B166" s="183"/>
      <c r="C166" s="100"/>
      <c r="D166" s="100"/>
      <c r="E166" s="129"/>
      <c r="F166" s="129"/>
      <c r="G166" s="36"/>
      <c r="H166" s="41"/>
      <c r="I166" s="42"/>
      <c r="J166" s="43"/>
      <c r="K166" s="39"/>
      <c r="L166" s="40"/>
      <c r="M166" s="171" t="s">
        <v>23</v>
      </c>
    </row>
    <row r="167" spans="1:15">
      <c r="A167" s="182"/>
      <c r="B167" s="183"/>
      <c r="C167" s="80"/>
      <c r="D167" s="80"/>
      <c r="E167" s="129"/>
      <c r="F167" s="129"/>
      <c r="G167" s="36"/>
      <c r="H167" s="41"/>
      <c r="I167" s="42"/>
      <c r="J167" s="43"/>
      <c r="K167" s="39"/>
      <c r="L167" s="40"/>
      <c r="M167" s="172"/>
    </row>
    <row r="168" spans="1:15">
      <c r="A168" s="182"/>
      <c r="B168" s="183"/>
      <c r="C168" s="47"/>
      <c r="D168" s="12"/>
      <c r="E168" s="129"/>
      <c r="F168" s="129"/>
      <c r="G168" s="36"/>
      <c r="H168" s="41"/>
      <c r="I168" s="42"/>
      <c r="J168" s="43"/>
      <c r="K168" s="39"/>
      <c r="L168" s="40"/>
      <c r="M168" s="161">
        <f>F171-J171</f>
        <v>14744</v>
      </c>
    </row>
    <row r="169" spans="1:15">
      <c r="A169" s="182"/>
      <c r="B169" s="183"/>
      <c r="C169" s="47"/>
      <c r="D169" s="12"/>
      <c r="E169" s="129"/>
      <c r="F169" s="129"/>
      <c r="G169" s="36"/>
      <c r="H169" s="41"/>
      <c r="I169" s="42"/>
      <c r="J169" s="43"/>
      <c r="K169" s="39"/>
      <c r="L169" s="40"/>
      <c r="M169" s="162"/>
    </row>
    <row r="170" spans="1:15">
      <c r="A170" s="182"/>
      <c r="B170" s="183"/>
      <c r="C170" s="52"/>
      <c r="D170" s="52"/>
      <c r="E170" s="129"/>
      <c r="F170" s="129"/>
      <c r="G170" s="53"/>
      <c r="H170" s="54"/>
      <c r="I170" s="51"/>
      <c r="J170" s="55"/>
      <c r="K170" s="56"/>
      <c r="L170" s="57"/>
      <c r="M170" s="7"/>
    </row>
    <row r="171" spans="1:15">
      <c r="A171" s="58"/>
      <c r="B171" s="59"/>
      <c r="C171" s="60"/>
      <c r="D171" s="163" t="s">
        <v>24</v>
      </c>
      <c r="E171" s="130"/>
      <c r="F171" s="165">
        <f>SUM(F164:F170)</f>
        <v>15200</v>
      </c>
      <c r="G171" s="62"/>
      <c r="H171" s="167" t="s">
        <v>25</v>
      </c>
      <c r="I171" s="163"/>
      <c r="J171" s="165">
        <f>SUM(J164:J170)</f>
        <v>456</v>
      </c>
      <c r="K171" s="62"/>
      <c r="L171" s="57"/>
      <c r="M171" s="63"/>
    </row>
    <row r="172" spans="1:15">
      <c r="A172" s="65"/>
      <c r="B172" s="66"/>
      <c r="C172" s="66"/>
      <c r="D172" s="164"/>
      <c r="E172" s="131"/>
      <c r="F172" s="166"/>
      <c r="G172" s="68"/>
      <c r="H172" s="168"/>
      <c r="I172" s="164"/>
      <c r="J172" s="166"/>
      <c r="K172" s="68"/>
      <c r="L172" s="57"/>
      <c r="M172" s="46" t="s">
        <v>26</v>
      </c>
    </row>
    <row r="173" spans="1:15">
      <c r="A173" s="69"/>
      <c r="B173" s="69"/>
      <c r="C173" s="69"/>
      <c r="D173" s="18"/>
      <c r="E173" s="132"/>
      <c r="F173" s="133"/>
      <c r="G173" s="57"/>
      <c r="H173" s="18"/>
      <c r="I173" s="18"/>
      <c r="J173" s="133"/>
      <c r="K173" s="57"/>
      <c r="L173" s="57"/>
      <c r="M173" s="64"/>
    </row>
    <row r="174" spans="1:15">
      <c r="A174" s="177" t="s">
        <v>0</v>
      </c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</row>
    <row r="175" spans="1:15">
      <c r="A175" s="178" t="s">
        <v>1</v>
      </c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</row>
    <row r="176" spans="1:15">
      <c r="A176" s="178" t="s">
        <v>2</v>
      </c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5" ht="15" customHeight="1">
      <c r="A178" s="179" t="s">
        <v>3</v>
      </c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</row>
    <row r="179" spans="1:15" ht="12.6" customHeight="1">
      <c r="A179" s="3"/>
      <c r="B179" s="3"/>
      <c r="C179" s="3"/>
      <c r="D179" s="4"/>
      <c r="E179" s="4"/>
      <c r="F179" s="4"/>
      <c r="G179" s="4"/>
      <c r="H179" s="134"/>
      <c r="I179" s="4"/>
      <c r="J179" s="4"/>
      <c r="K179" s="4"/>
      <c r="L179" s="4"/>
      <c r="M179" s="3"/>
    </row>
    <row r="180" spans="1:15">
      <c r="A180" s="5" t="s">
        <v>4</v>
      </c>
      <c r="B180" s="6">
        <v>202152</v>
      </c>
      <c r="D180" s="5" t="s">
        <v>5</v>
      </c>
      <c r="E180" s="8" t="s">
        <v>58</v>
      </c>
      <c r="F180" s="80"/>
      <c r="G180" s="7"/>
      <c r="H180" s="135" t="s">
        <v>7</v>
      </c>
      <c r="I180" s="6" t="s">
        <v>55</v>
      </c>
      <c r="J180" s="181" t="s">
        <v>9</v>
      </c>
      <c r="K180" s="181"/>
      <c r="L180" s="181"/>
      <c r="M180" s="136"/>
      <c r="O180" s="72">
        <v>10</v>
      </c>
    </row>
    <row r="181" spans="1:15">
      <c r="A181" s="10"/>
      <c r="B181" s="10"/>
      <c r="C181" s="11"/>
      <c r="D181" s="5"/>
      <c r="E181" s="5"/>
      <c r="F181" s="12"/>
      <c r="G181" s="12"/>
      <c r="H181" s="5"/>
      <c r="I181" s="11"/>
      <c r="J181" s="13"/>
      <c r="K181" s="13"/>
      <c r="L181" s="13"/>
      <c r="M181" s="12"/>
      <c r="O181" s="73"/>
    </row>
    <row r="182" spans="1:15" ht="12.6" customHeight="1">
      <c r="A182" s="167" t="s">
        <v>12</v>
      </c>
      <c r="B182" s="163"/>
      <c r="C182" s="14"/>
      <c r="D182" s="169" t="s">
        <v>13</v>
      </c>
      <c r="E182" s="169" t="s">
        <v>14</v>
      </c>
      <c r="F182" s="169"/>
      <c r="G182" s="16"/>
      <c r="H182" s="167" t="s">
        <v>15</v>
      </c>
      <c r="I182" s="163" t="s">
        <v>13</v>
      </c>
      <c r="J182" s="169" t="s">
        <v>14</v>
      </c>
      <c r="K182" s="16"/>
      <c r="L182" s="17"/>
      <c r="M182" s="171" t="s">
        <v>16</v>
      </c>
      <c r="O182" s="74" t="s">
        <v>30</v>
      </c>
    </row>
    <row r="183" spans="1:15">
      <c r="A183" s="168"/>
      <c r="B183" s="164"/>
      <c r="C183" s="19"/>
      <c r="D183" s="170"/>
      <c r="E183" s="170"/>
      <c r="F183" s="170"/>
      <c r="G183" s="21"/>
      <c r="H183" s="168"/>
      <c r="I183" s="164"/>
      <c r="J183" s="170"/>
      <c r="K183" s="21"/>
      <c r="L183" s="17"/>
      <c r="M183" s="172"/>
      <c r="O183" s="75"/>
    </row>
    <row r="184" spans="1:15">
      <c r="A184" s="173" t="s">
        <v>17</v>
      </c>
      <c r="B184" s="174"/>
      <c r="C184" s="127"/>
      <c r="D184" s="23"/>
      <c r="E184" s="137"/>
      <c r="F184" s="76">
        <v>17500</v>
      </c>
      <c r="G184" s="25"/>
      <c r="H184" s="22" t="s">
        <v>18</v>
      </c>
      <c r="I184" s="26">
        <v>0.05</v>
      </c>
      <c r="J184" s="27">
        <f>IF(F184&lt;17500,F184*5%,17500*5%)</f>
        <v>875</v>
      </c>
      <c r="K184" s="25"/>
      <c r="L184" s="28"/>
      <c r="M184" s="78" t="str">
        <f>M11</f>
        <v>31 มกราคม 2569</v>
      </c>
      <c r="O184" s="74" t="s">
        <v>31</v>
      </c>
    </row>
    <row r="185" spans="1:15">
      <c r="A185" s="175"/>
      <c r="B185" s="176"/>
      <c r="C185" s="80"/>
      <c r="D185" s="99"/>
      <c r="E185" s="48"/>
      <c r="F185" s="48"/>
      <c r="G185" s="36"/>
      <c r="H185" s="33"/>
      <c r="I185" s="93"/>
      <c r="J185" s="38"/>
      <c r="K185" s="39"/>
      <c r="L185" s="40"/>
      <c r="M185" s="128"/>
      <c r="O185" s="85">
        <f>(((O183/30)/8)/60)</f>
        <v>0</v>
      </c>
    </row>
    <row r="186" spans="1:15">
      <c r="A186" s="182"/>
      <c r="B186" s="183"/>
      <c r="C186" s="100"/>
      <c r="D186" s="100"/>
      <c r="E186" s="129"/>
      <c r="F186" s="129"/>
      <c r="G186" s="36"/>
      <c r="H186" s="41"/>
      <c r="I186" s="42"/>
      <c r="J186" s="43"/>
      <c r="K186" s="39"/>
      <c r="L186" s="40"/>
      <c r="M186" s="171" t="s">
        <v>23</v>
      </c>
    </row>
    <row r="187" spans="1:15">
      <c r="A187" s="182"/>
      <c r="B187" s="183"/>
      <c r="C187" s="80"/>
      <c r="D187" s="80"/>
      <c r="E187" s="129"/>
      <c r="F187" s="129"/>
      <c r="G187" s="36"/>
      <c r="H187" s="41"/>
      <c r="I187" s="42"/>
      <c r="J187" s="43"/>
      <c r="K187" s="39"/>
      <c r="L187" s="40"/>
      <c r="M187" s="172"/>
    </row>
    <row r="188" spans="1:15">
      <c r="A188" s="182"/>
      <c r="B188" s="183"/>
      <c r="C188" s="47"/>
      <c r="D188" s="12"/>
      <c r="E188" s="129"/>
      <c r="F188" s="129"/>
      <c r="G188" s="36"/>
      <c r="H188" s="41"/>
      <c r="I188" s="42"/>
      <c r="J188" s="43"/>
      <c r="K188" s="39"/>
      <c r="L188" s="40"/>
      <c r="M188" s="161">
        <f>F191-J191</f>
        <v>16625</v>
      </c>
    </row>
    <row r="189" spans="1:15">
      <c r="A189" s="182"/>
      <c r="B189" s="183"/>
      <c r="C189" s="47"/>
      <c r="D189" s="12"/>
      <c r="E189" s="129"/>
      <c r="F189" s="129"/>
      <c r="G189" s="36"/>
      <c r="H189" s="41"/>
      <c r="I189" s="42"/>
      <c r="J189" s="43"/>
      <c r="K189" s="39"/>
      <c r="L189" s="40"/>
      <c r="M189" s="162"/>
    </row>
    <row r="190" spans="1:15">
      <c r="A190" s="182"/>
      <c r="B190" s="183"/>
      <c r="C190" s="52"/>
      <c r="D190" s="52"/>
      <c r="E190" s="129"/>
      <c r="F190" s="129"/>
      <c r="G190" s="53"/>
      <c r="H190" s="54"/>
      <c r="I190" s="51"/>
      <c r="J190" s="55"/>
      <c r="K190" s="56"/>
      <c r="L190" s="57"/>
      <c r="M190" s="7"/>
    </row>
    <row r="191" spans="1:15">
      <c r="A191" s="58"/>
      <c r="B191" s="59"/>
      <c r="C191" s="60"/>
      <c r="D191" s="163" t="s">
        <v>24</v>
      </c>
      <c r="E191" s="130"/>
      <c r="F191" s="165">
        <f>SUM(F184:F190)</f>
        <v>17500</v>
      </c>
      <c r="G191" s="62"/>
      <c r="H191" s="167" t="s">
        <v>25</v>
      </c>
      <c r="I191" s="163"/>
      <c r="J191" s="165">
        <f>SUM(J184:J190)</f>
        <v>875</v>
      </c>
      <c r="K191" s="62"/>
      <c r="L191" s="57"/>
      <c r="M191" s="63"/>
    </row>
    <row r="192" spans="1:15">
      <c r="A192" s="65"/>
      <c r="B192" s="66"/>
      <c r="C192" s="66"/>
      <c r="D192" s="164"/>
      <c r="E192" s="131"/>
      <c r="F192" s="166"/>
      <c r="G192" s="68"/>
      <c r="H192" s="168"/>
      <c r="I192" s="164"/>
      <c r="J192" s="166"/>
      <c r="K192" s="68"/>
      <c r="L192" s="57"/>
      <c r="M192" s="46" t="s">
        <v>26</v>
      </c>
    </row>
    <row r="193" spans="1:15" ht="17.45" customHeight="1">
      <c r="A193" s="177" t="s">
        <v>0</v>
      </c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</row>
    <row r="194" spans="1:15">
      <c r="A194" s="178" t="s">
        <v>1</v>
      </c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</row>
    <row r="195" spans="1:15">
      <c r="A195" s="178" t="s">
        <v>2</v>
      </c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5" ht="14.45" customHeight="1">
      <c r="A197" s="179" t="s">
        <v>3</v>
      </c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</row>
    <row r="198" spans="1:15" ht="14.45" customHeight="1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3"/>
    </row>
    <row r="199" spans="1:15">
      <c r="A199" s="5" t="s">
        <v>4</v>
      </c>
      <c r="B199" s="176">
        <v>202159</v>
      </c>
      <c r="C199" s="176"/>
      <c r="D199" s="5" t="s">
        <v>5</v>
      </c>
      <c r="E199" s="176" t="s">
        <v>59</v>
      </c>
      <c r="F199" s="176"/>
      <c r="G199" s="7"/>
      <c r="H199" s="5" t="s">
        <v>7</v>
      </c>
      <c r="I199" s="6" t="s">
        <v>55</v>
      </c>
      <c r="J199" s="181" t="s">
        <v>9</v>
      </c>
      <c r="K199" s="181"/>
      <c r="L199" s="181"/>
      <c r="M199" s="138" t="s">
        <v>60</v>
      </c>
      <c r="O199" s="72">
        <v>11</v>
      </c>
    </row>
    <row r="200" spans="1:15">
      <c r="A200" s="10"/>
      <c r="B200" s="10"/>
      <c r="C200" s="11"/>
      <c r="D200" s="5"/>
      <c r="E200" s="5"/>
      <c r="F200" s="12"/>
      <c r="G200" s="12"/>
      <c r="H200" s="5"/>
      <c r="I200" s="11"/>
      <c r="J200" s="13"/>
      <c r="K200" s="13"/>
      <c r="L200" s="13"/>
      <c r="M200" s="12"/>
      <c r="O200" s="73"/>
    </row>
    <row r="201" spans="1:15">
      <c r="A201" s="167" t="s">
        <v>12</v>
      </c>
      <c r="B201" s="163"/>
      <c r="C201" s="14"/>
      <c r="D201" s="163" t="s">
        <v>13</v>
      </c>
      <c r="E201" s="169" t="s">
        <v>14</v>
      </c>
      <c r="F201" s="169"/>
      <c r="G201" s="16"/>
      <c r="H201" s="167" t="s">
        <v>15</v>
      </c>
      <c r="I201" s="163" t="s">
        <v>13</v>
      </c>
      <c r="J201" s="169" t="s">
        <v>14</v>
      </c>
      <c r="K201" s="16"/>
      <c r="L201" s="17"/>
      <c r="M201" s="171" t="s">
        <v>16</v>
      </c>
      <c r="O201" s="74" t="s">
        <v>30</v>
      </c>
    </row>
    <row r="202" spans="1:15">
      <c r="A202" s="168"/>
      <c r="B202" s="164"/>
      <c r="C202" s="19"/>
      <c r="D202" s="164"/>
      <c r="E202" s="170"/>
      <c r="F202" s="170"/>
      <c r="G202" s="21"/>
      <c r="H202" s="168"/>
      <c r="I202" s="164"/>
      <c r="J202" s="170"/>
      <c r="K202" s="21"/>
      <c r="L202" s="17"/>
      <c r="M202" s="172"/>
      <c r="O202" s="75">
        <f>F203</f>
        <v>18000</v>
      </c>
    </row>
    <row r="203" spans="1:15">
      <c r="A203" s="173" t="s">
        <v>17</v>
      </c>
      <c r="B203" s="174"/>
      <c r="C203" s="23"/>
      <c r="D203" s="103"/>
      <c r="E203" s="103"/>
      <c r="F203" s="104">
        <f>'[1]สรุปอินฟินิท เบรน68'!F89</f>
        <v>18000</v>
      </c>
      <c r="G203" s="25"/>
      <c r="H203" s="22" t="s">
        <v>18</v>
      </c>
      <c r="I203" s="95">
        <v>0.05</v>
      </c>
      <c r="J203" s="27">
        <f>IF(F203&lt;17500,F203*5%,17500*5%)</f>
        <v>875</v>
      </c>
      <c r="K203" s="25"/>
      <c r="L203" s="28"/>
      <c r="M203" s="78" t="str">
        <f>M11</f>
        <v>31 มกราคม 2569</v>
      </c>
      <c r="O203" s="74" t="s">
        <v>31</v>
      </c>
    </row>
    <row r="204" spans="1:15">
      <c r="A204" s="175"/>
      <c r="B204" s="176"/>
      <c r="C204" s="80"/>
      <c r="D204" s="106"/>
      <c r="E204" s="94"/>
      <c r="F204" s="94"/>
      <c r="G204" s="36"/>
      <c r="H204" s="139"/>
      <c r="I204" s="110"/>
      <c r="J204" s="108"/>
      <c r="K204" s="39"/>
      <c r="L204" s="40"/>
      <c r="M204" s="17"/>
      <c r="O204" s="85">
        <f>(((O202/30)/8)/60)</f>
        <v>1.25</v>
      </c>
    </row>
    <row r="205" spans="1:15">
      <c r="A205" s="175"/>
      <c r="B205" s="176"/>
      <c r="C205" s="80"/>
      <c r="D205" s="124"/>
      <c r="E205" s="122"/>
      <c r="F205" s="108"/>
      <c r="G205" s="36"/>
      <c r="H205" s="41"/>
      <c r="I205" s="42"/>
      <c r="J205" s="43"/>
      <c r="K205" s="39"/>
      <c r="L205" s="40"/>
      <c r="M205" s="171" t="s">
        <v>23</v>
      </c>
    </row>
    <row r="206" spans="1:15">
      <c r="A206" s="159"/>
      <c r="B206" s="160"/>
      <c r="C206" s="80"/>
      <c r="D206" s="80"/>
      <c r="E206" s="80"/>
      <c r="F206" s="113"/>
      <c r="G206" s="36"/>
      <c r="H206" s="41"/>
      <c r="I206" s="42"/>
      <c r="J206" s="43"/>
      <c r="K206" s="39"/>
      <c r="L206" s="40"/>
      <c r="M206" s="172"/>
    </row>
    <row r="207" spans="1:15">
      <c r="A207" s="159"/>
      <c r="B207" s="160"/>
      <c r="C207" s="47"/>
      <c r="D207" s="12" t="s">
        <v>11</v>
      </c>
      <c r="E207" s="12"/>
      <c r="F207" s="115"/>
      <c r="G207" s="36"/>
      <c r="H207" s="41"/>
      <c r="I207" s="42"/>
      <c r="J207" s="43"/>
      <c r="K207" s="39"/>
      <c r="L207" s="40"/>
      <c r="M207" s="161">
        <f>F210-J210</f>
        <v>17125</v>
      </c>
    </row>
    <row r="208" spans="1:15">
      <c r="A208" s="159"/>
      <c r="B208" s="160"/>
      <c r="C208" s="47"/>
      <c r="D208" s="12"/>
      <c r="E208" s="12"/>
      <c r="F208" s="115"/>
      <c r="G208" s="36"/>
      <c r="H208" s="41"/>
      <c r="I208" s="42"/>
      <c r="J208" s="43"/>
      <c r="K208" s="39"/>
      <c r="L208" s="40"/>
      <c r="M208" s="162"/>
    </row>
    <row r="209" spans="1:17">
      <c r="A209" s="159"/>
      <c r="B209" s="160"/>
      <c r="C209" s="52"/>
      <c r="D209" s="52"/>
      <c r="E209" s="52"/>
      <c r="F209" s="116"/>
      <c r="G209" s="53"/>
      <c r="H209" s="54"/>
      <c r="I209" s="51"/>
      <c r="J209" s="55"/>
      <c r="K209" s="56"/>
      <c r="L209" s="57"/>
      <c r="M209" s="7"/>
    </row>
    <row r="210" spans="1:17">
      <c r="A210" s="58"/>
      <c r="B210" s="59"/>
      <c r="C210" s="60"/>
      <c r="D210" s="163" t="s">
        <v>24</v>
      </c>
      <c r="E210" s="117"/>
      <c r="F210" s="165">
        <f>SUM(F203:F209)</f>
        <v>18000</v>
      </c>
      <c r="G210" s="62"/>
      <c r="H210" s="167" t="s">
        <v>25</v>
      </c>
      <c r="I210" s="163"/>
      <c r="J210" s="165">
        <f>SUM(J203:J209)</f>
        <v>875</v>
      </c>
      <c r="K210" s="62"/>
      <c r="L210" s="57"/>
      <c r="M210" s="118"/>
      <c r="Q210" s="140"/>
    </row>
    <row r="211" spans="1:17">
      <c r="A211" s="65"/>
      <c r="B211" s="66"/>
      <c r="C211" s="66"/>
      <c r="D211" s="164"/>
      <c r="E211" s="119"/>
      <c r="F211" s="166"/>
      <c r="G211" s="68"/>
      <c r="H211" s="168"/>
      <c r="I211" s="164"/>
      <c r="J211" s="166"/>
      <c r="K211" s="68"/>
      <c r="L211" s="57"/>
      <c r="M211" s="46" t="s">
        <v>26</v>
      </c>
      <c r="Q211" s="140"/>
    </row>
    <row r="212" spans="1:17">
      <c r="A212" s="177" t="s">
        <v>0</v>
      </c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71"/>
    </row>
    <row r="213" spans="1:17">
      <c r="A213" s="178" t="s">
        <v>1</v>
      </c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3"/>
    </row>
    <row r="214" spans="1:17">
      <c r="A214" s="178" t="s">
        <v>2</v>
      </c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3"/>
    </row>
    <row r="215" spans="1:1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7" ht="15.95" customHeight="1">
      <c r="A216" s="179" t="s">
        <v>3</v>
      </c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3"/>
      <c r="Q216" t="s">
        <v>11</v>
      </c>
    </row>
    <row r="217" spans="1:17" ht="15" customHeight="1">
      <c r="A217" s="3"/>
      <c r="B217" s="3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3"/>
      <c r="N217" s="3"/>
    </row>
    <row r="218" spans="1:17">
      <c r="A218" s="5" t="s">
        <v>4</v>
      </c>
      <c r="B218" s="6">
        <v>202137</v>
      </c>
      <c r="C218" s="6"/>
      <c r="D218" s="5" t="s">
        <v>5</v>
      </c>
      <c r="E218" s="160" t="s">
        <v>61</v>
      </c>
      <c r="F218" s="160"/>
      <c r="G218" s="7"/>
      <c r="H218" s="5" t="s">
        <v>7</v>
      </c>
      <c r="I218" s="6" t="s">
        <v>62</v>
      </c>
      <c r="J218" s="181" t="s">
        <v>9</v>
      </c>
      <c r="K218" s="181"/>
      <c r="L218" s="181"/>
      <c r="M218" s="8" t="s">
        <v>63</v>
      </c>
      <c r="N218" s="8"/>
      <c r="O218" s="72">
        <v>12</v>
      </c>
    </row>
    <row r="219" spans="1:17">
      <c r="A219" s="10"/>
      <c r="B219" s="10"/>
      <c r="C219" s="11"/>
      <c r="D219" s="5"/>
      <c r="E219" s="5"/>
      <c r="F219" s="12"/>
      <c r="G219" s="12"/>
      <c r="H219" s="5"/>
      <c r="I219" s="11"/>
      <c r="J219" s="13"/>
      <c r="K219" s="13"/>
      <c r="L219" s="13"/>
      <c r="M219" s="12"/>
      <c r="N219" s="12"/>
      <c r="O219" s="73"/>
    </row>
    <row r="220" spans="1:17">
      <c r="A220" s="167" t="s">
        <v>12</v>
      </c>
      <c r="B220" s="163"/>
      <c r="C220" s="14"/>
      <c r="D220" s="163" t="s">
        <v>42</v>
      </c>
      <c r="E220" s="163" t="s">
        <v>43</v>
      </c>
      <c r="F220" s="163" t="s">
        <v>14</v>
      </c>
      <c r="G220" s="16"/>
      <c r="H220" s="167" t="s">
        <v>15</v>
      </c>
      <c r="I220" s="163" t="s">
        <v>13</v>
      </c>
      <c r="J220" s="169" t="s">
        <v>14</v>
      </c>
      <c r="K220" s="16"/>
      <c r="L220" s="17"/>
      <c r="M220" s="171" t="s">
        <v>16</v>
      </c>
      <c r="N220" s="18"/>
      <c r="O220" s="74" t="s">
        <v>30</v>
      </c>
    </row>
    <row r="221" spans="1:17">
      <c r="A221" s="168"/>
      <c r="B221" s="164"/>
      <c r="C221" s="19"/>
      <c r="D221" s="164"/>
      <c r="E221" s="164"/>
      <c r="F221" s="164"/>
      <c r="G221" s="21"/>
      <c r="H221" s="168"/>
      <c r="I221" s="164"/>
      <c r="J221" s="170"/>
      <c r="K221" s="21"/>
      <c r="L221" s="17"/>
      <c r="M221" s="172"/>
      <c r="N221" s="18"/>
      <c r="O221" s="75">
        <f>M226</f>
        <v>1940</v>
      </c>
    </row>
    <row r="222" spans="1:17">
      <c r="A222" s="173" t="s">
        <v>17</v>
      </c>
      <c r="B222" s="174"/>
      <c r="C222" s="23"/>
      <c r="D222" s="141">
        <v>1000</v>
      </c>
      <c r="E222" s="93">
        <v>2</v>
      </c>
      <c r="F222" s="94">
        <f>D222*E222</f>
        <v>2000</v>
      </c>
      <c r="G222" s="142"/>
      <c r="H222" s="22" t="s">
        <v>38</v>
      </c>
      <c r="I222" s="95">
        <v>0.03</v>
      </c>
      <c r="J222" s="27">
        <f>F229*3%</f>
        <v>60</v>
      </c>
      <c r="K222" s="25"/>
      <c r="L222" s="28"/>
      <c r="M222" s="78" t="str">
        <f>M203</f>
        <v>31 มกราคม 2569</v>
      </c>
      <c r="N222" s="79"/>
      <c r="O222" s="74" t="s">
        <v>31</v>
      </c>
    </row>
    <row r="223" spans="1:17">
      <c r="A223" s="175"/>
      <c r="B223" s="176"/>
      <c r="C223" s="80"/>
      <c r="D223" s="143"/>
      <c r="E223" s="143"/>
      <c r="F223" s="108"/>
      <c r="G223" s="36"/>
      <c r="H223" s="111"/>
      <c r="I223" s="144"/>
      <c r="J223" s="38"/>
      <c r="K223" s="39"/>
      <c r="L223" s="40"/>
      <c r="M223" s="17"/>
      <c r="N223" s="17"/>
      <c r="O223" s="85">
        <f>(((O221/30)/8)/60)</f>
        <v>0.13472222222222224</v>
      </c>
    </row>
    <row r="224" spans="1:17">
      <c r="A224" s="175"/>
      <c r="B224" s="176"/>
      <c r="C224" s="100"/>
      <c r="D224" s="99"/>
      <c r="E224" s="105"/>
      <c r="F224" s="38"/>
      <c r="G224" s="36"/>
      <c r="H224" s="41"/>
      <c r="I224" s="42"/>
      <c r="J224" s="43"/>
      <c r="K224" s="39"/>
      <c r="L224" s="40"/>
      <c r="M224" s="171" t="s">
        <v>23</v>
      </c>
      <c r="N224" s="18"/>
    </row>
    <row r="225" spans="1:17">
      <c r="A225" s="175"/>
      <c r="B225" s="176"/>
      <c r="C225" s="80"/>
      <c r="D225" s="80"/>
      <c r="E225" s="80"/>
      <c r="F225" s="113"/>
      <c r="G225" s="36"/>
      <c r="H225" s="41"/>
      <c r="I225" s="42"/>
      <c r="J225" s="43"/>
      <c r="K225" s="39"/>
      <c r="L225" s="40"/>
      <c r="M225" s="172"/>
      <c r="N225" s="18"/>
      <c r="O225" s="87"/>
    </row>
    <row r="226" spans="1:17" ht="16.5">
      <c r="A226" s="175"/>
      <c r="B226" s="176"/>
      <c r="C226" s="47"/>
      <c r="D226" s="12"/>
      <c r="E226" s="12"/>
      <c r="F226" s="115"/>
      <c r="G226" s="36"/>
      <c r="H226" s="41"/>
      <c r="I226" s="42"/>
      <c r="J226" s="43"/>
      <c r="K226" s="39"/>
      <c r="L226" s="40"/>
      <c r="M226" s="161">
        <f>F229-J229</f>
        <v>1940</v>
      </c>
      <c r="N226" s="49"/>
    </row>
    <row r="227" spans="1:17" ht="16.5">
      <c r="A227" s="175"/>
      <c r="B227" s="176"/>
      <c r="C227" s="47"/>
      <c r="D227" s="12"/>
      <c r="E227" s="12"/>
      <c r="F227" s="115"/>
      <c r="G227" s="36"/>
      <c r="H227" s="41"/>
      <c r="I227" s="42"/>
      <c r="J227" s="43"/>
      <c r="K227" s="39"/>
      <c r="L227" s="40"/>
      <c r="M227" s="162"/>
      <c r="N227" s="49"/>
      <c r="Q227" t="s">
        <v>11</v>
      </c>
    </row>
    <row r="228" spans="1:17">
      <c r="A228" s="184"/>
      <c r="B228" s="185"/>
      <c r="C228" s="52"/>
      <c r="D228" s="52"/>
      <c r="E228" s="52"/>
      <c r="F228" s="116"/>
      <c r="G228" s="53"/>
      <c r="H228" s="54"/>
      <c r="I228" s="51"/>
      <c r="J228" s="55"/>
      <c r="K228" s="56"/>
      <c r="L228" s="57"/>
      <c r="M228" s="7"/>
      <c r="N228" s="7"/>
    </row>
    <row r="229" spans="1:17">
      <c r="A229" s="58"/>
      <c r="B229" s="59"/>
      <c r="C229" s="60"/>
      <c r="D229" s="163" t="s">
        <v>24</v>
      </c>
      <c r="E229" s="117"/>
      <c r="F229" s="165">
        <f>SUM(F222:F228)</f>
        <v>2000</v>
      </c>
      <c r="G229" s="62"/>
      <c r="H229" s="167" t="s">
        <v>25</v>
      </c>
      <c r="I229" s="163"/>
      <c r="J229" s="165">
        <f>SUM(J222:J228)</f>
        <v>60</v>
      </c>
      <c r="K229" s="62"/>
      <c r="L229" s="57"/>
      <c r="M229" s="118"/>
      <c r="N229" s="64"/>
    </row>
    <row r="230" spans="1:17">
      <c r="A230" s="65"/>
      <c r="B230" s="66"/>
      <c r="C230" s="66"/>
      <c r="D230" s="164"/>
      <c r="E230" s="119"/>
      <c r="F230" s="166"/>
      <c r="G230" s="68"/>
      <c r="H230" s="168"/>
      <c r="I230" s="164"/>
      <c r="J230" s="166"/>
      <c r="K230" s="68"/>
      <c r="L230" s="57"/>
      <c r="M230" s="46" t="s">
        <v>26</v>
      </c>
      <c r="N230" s="64"/>
    </row>
    <row r="231" spans="1:17">
      <c r="A231" s="3" t="s">
        <v>11</v>
      </c>
      <c r="B231" s="177" t="s">
        <v>0</v>
      </c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 spans="1:17">
      <c r="A232" s="3"/>
      <c r="B232" s="178" t="s">
        <v>1</v>
      </c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Q232" t="s">
        <v>11</v>
      </c>
    </row>
    <row r="233" spans="1:17">
      <c r="A233" s="3"/>
      <c r="B233" s="178" t="s">
        <v>2</v>
      </c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</row>
    <row r="234" spans="1:1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Q234" t="s">
        <v>11</v>
      </c>
    </row>
    <row r="235" spans="1:17" ht="16.5" customHeight="1">
      <c r="A235" s="3"/>
      <c r="B235" s="179" t="s">
        <v>3</v>
      </c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</row>
    <row r="236" spans="1:17" ht="14.45" customHeight="1">
      <c r="A236" s="3"/>
      <c r="B236" s="3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3"/>
      <c r="N236" s="3"/>
    </row>
    <row r="237" spans="1:17">
      <c r="A237" s="5" t="s">
        <v>4</v>
      </c>
      <c r="B237" s="176"/>
      <c r="C237" s="176"/>
      <c r="D237" s="5" t="s">
        <v>5</v>
      </c>
      <c r="E237" s="176" t="s">
        <v>64</v>
      </c>
      <c r="F237" s="176"/>
      <c r="G237" s="7"/>
      <c r="H237" s="5" t="s">
        <v>7</v>
      </c>
      <c r="I237" s="6" t="s">
        <v>65</v>
      </c>
      <c r="J237" s="181" t="s">
        <v>9</v>
      </c>
      <c r="K237" s="181"/>
      <c r="L237" s="181"/>
      <c r="M237" s="6" t="s">
        <v>66</v>
      </c>
      <c r="N237" s="8"/>
      <c r="O237" s="72">
        <v>13</v>
      </c>
    </row>
    <row r="238" spans="1:17">
      <c r="A238" s="10"/>
      <c r="B238" s="10"/>
      <c r="C238" s="11"/>
      <c r="D238" s="5"/>
      <c r="E238" s="5"/>
      <c r="F238" s="12"/>
      <c r="G238" s="12"/>
      <c r="H238" s="5"/>
      <c r="I238" s="11"/>
      <c r="J238" s="13"/>
      <c r="K238" s="13"/>
      <c r="L238" s="13"/>
      <c r="M238" s="12"/>
      <c r="N238" s="12"/>
      <c r="O238" s="73"/>
    </row>
    <row r="239" spans="1:17">
      <c r="A239" s="167" t="s">
        <v>12</v>
      </c>
      <c r="B239" s="163"/>
      <c r="C239" s="14"/>
      <c r="D239" s="163" t="s">
        <v>35</v>
      </c>
      <c r="E239" s="163" t="s">
        <v>36</v>
      </c>
      <c r="F239" s="163" t="s">
        <v>14</v>
      </c>
      <c r="G239" s="16"/>
      <c r="H239" s="167" t="s">
        <v>15</v>
      </c>
      <c r="I239" s="163" t="s">
        <v>13</v>
      </c>
      <c r="J239" s="169" t="s">
        <v>14</v>
      </c>
      <c r="K239" s="16"/>
      <c r="L239" s="17"/>
      <c r="M239" s="171" t="s">
        <v>16</v>
      </c>
      <c r="N239" s="18"/>
      <c r="O239" s="74" t="s">
        <v>30</v>
      </c>
    </row>
    <row r="240" spans="1:17">
      <c r="A240" s="168"/>
      <c r="B240" s="164"/>
      <c r="C240" s="19"/>
      <c r="D240" s="164"/>
      <c r="E240" s="164"/>
      <c r="F240" s="164"/>
      <c r="G240" s="21"/>
      <c r="H240" s="168"/>
      <c r="I240" s="164"/>
      <c r="J240" s="170"/>
      <c r="K240" s="21"/>
      <c r="L240" s="17"/>
      <c r="M240" s="172"/>
      <c r="N240" s="18"/>
      <c r="O240" s="75">
        <f>M245</f>
        <v>3104</v>
      </c>
    </row>
    <row r="241" spans="1:18">
      <c r="A241" s="173" t="s">
        <v>17</v>
      </c>
      <c r="B241" s="174"/>
      <c r="C241" s="23"/>
      <c r="D241" s="145">
        <v>400</v>
      </c>
      <c r="E241" s="146">
        <v>8</v>
      </c>
      <c r="F241" s="104">
        <f>D241*E241</f>
        <v>3200</v>
      </c>
      <c r="G241" s="25"/>
      <c r="H241" s="22" t="s">
        <v>38</v>
      </c>
      <c r="I241" s="95">
        <v>0.03</v>
      </c>
      <c r="J241" s="27">
        <f>F248*3%</f>
        <v>96</v>
      </c>
      <c r="K241" s="25"/>
      <c r="L241" s="28"/>
      <c r="M241" s="78" t="str">
        <f>M222</f>
        <v>31 มกราคม 2569</v>
      </c>
      <c r="N241" s="79"/>
      <c r="O241" s="74" t="s">
        <v>31</v>
      </c>
    </row>
    <row r="242" spans="1:18">
      <c r="A242" s="175"/>
      <c r="B242" s="176"/>
      <c r="C242" s="105"/>
      <c r="D242" s="147"/>
      <c r="E242" s="147"/>
      <c r="F242" s="38"/>
      <c r="G242" s="36"/>
      <c r="H242" s="139"/>
      <c r="I242" s="148"/>
      <c r="J242" s="149"/>
      <c r="K242" s="39"/>
      <c r="L242" s="40"/>
      <c r="M242" s="17"/>
      <c r="N242" s="17"/>
      <c r="O242" s="85">
        <f>(((O240/30)/8)/60)</f>
        <v>0.21555555555555556</v>
      </c>
    </row>
    <row r="243" spans="1:18">
      <c r="A243" s="159"/>
      <c r="B243" s="160"/>
      <c r="C243" s="96"/>
      <c r="D243" s="106"/>
      <c r="E243" s="106"/>
      <c r="F243" s="108"/>
      <c r="G243" s="36"/>
      <c r="H243" s="41"/>
      <c r="I243" s="42"/>
      <c r="J243" s="43"/>
      <c r="K243" s="39"/>
      <c r="L243" s="40"/>
      <c r="M243" s="171" t="s">
        <v>23</v>
      </c>
      <c r="N243" s="18"/>
    </row>
    <row r="244" spans="1:18">
      <c r="A244" s="159"/>
      <c r="B244" s="160"/>
      <c r="C244" s="80"/>
      <c r="D244" s="80"/>
      <c r="E244" s="80"/>
      <c r="F244" s="113"/>
      <c r="G244" s="36"/>
      <c r="H244" s="41"/>
      <c r="I244" s="42"/>
      <c r="J244" s="43"/>
      <c r="K244" s="39"/>
      <c r="L244" s="40"/>
      <c r="M244" s="172"/>
      <c r="N244" s="18"/>
      <c r="O244" s="87"/>
    </row>
    <row r="245" spans="1:18" ht="15.95" customHeight="1">
      <c r="A245" s="159"/>
      <c r="B245" s="160"/>
      <c r="C245" s="47"/>
      <c r="D245" s="12" t="s">
        <v>11</v>
      </c>
      <c r="E245" s="12"/>
      <c r="F245" s="115"/>
      <c r="G245" s="36"/>
      <c r="H245" s="41"/>
      <c r="I245" s="42"/>
      <c r="J245" s="43"/>
      <c r="K245" s="39"/>
      <c r="L245" s="40"/>
      <c r="M245" s="161">
        <f>F248-J248</f>
        <v>3104</v>
      </c>
      <c r="N245" s="49"/>
    </row>
    <row r="246" spans="1:18" ht="15.95" customHeight="1">
      <c r="A246" s="159"/>
      <c r="B246" s="160"/>
      <c r="C246" s="47"/>
      <c r="D246" s="12"/>
      <c r="E246" s="12"/>
      <c r="F246" s="115"/>
      <c r="G246" s="36"/>
      <c r="H246" s="41"/>
      <c r="I246" s="42"/>
      <c r="J246" s="43"/>
      <c r="K246" s="39"/>
      <c r="L246" s="40"/>
      <c r="M246" s="162"/>
      <c r="N246" s="49"/>
    </row>
    <row r="247" spans="1:18">
      <c r="A247" s="159"/>
      <c r="B247" s="160"/>
      <c r="C247" s="52"/>
      <c r="D247" s="52"/>
      <c r="E247" s="52"/>
      <c r="F247" s="116"/>
      <c r="G247" s="53"/>
      <c r="H247" s="54"/>
      <c r="I247" s="51"/>
      <c r="J247" s="55"/>
      <c r="K247" s="56"/>
      <c r="L247" s="57"/>
      <c r="M247" s="7"/>
      <c r="N247" s="7"/>
    </row>
    <row r="248" spans="1:18">
      <c r="A248" s="58"/>
      <c r="B248" s="59"/>
      <c r="C248" s="60"/>
      <c r="D248" s="163" t="s">
        <v>24</v>
      </c>
      <c r="E248" s="117"/>
      <c r="F248" s="165">
        <f>SUM(F241:F247)</f>
        <v>3200</v>
      </c>
      <c r="G248" s="62"/>
      <c r="H248" s="167" t="s">
        <v>25</v>
      </c>
      <c r="I248" s="163"/>
      <c r="J248" s="165">
        <f>SUM(J241:J247)</f>
        <v>96</v>
      </c>
      <c r="K248" s="62"/>
      <c r="L248" s="57"/>
      <c r="M248" s="118"/>
      <c r="N248" s="64"/>
    </row>
    <row r="249" spans="1:18">
      <c r="A249" s="65"/>
      <c r="B249" s="66"/>
      <c r="C249" s="66"/>
      <c r="D249" s="164"/>
      <c r="E249" s="119"/>
      <c r="F249" s="166"/>
      <c r="G249" s="68"/>
      <c r="H249" s="168"/>
      <c r="I249" s="164"/>
      <c r="J249" s="166"/>
      <c r="K249" s="68"/>
      <c r="L249" s="57"/>
      <c r="M249" s="46" t="s">
        <v>26</v>
      </c>
      <c r="N249" s="64"/>
    </row>
    <row r="250" spans="1:18">
      <c r="A250" s="177" t="s">
        <v>0</v>
      </c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R250" t="s">
        <v>11</v>
      </c>
    </row>
    <row r="251" spans="1:18">
      <c r="A251" s="178" t="s">
        <v>1</v>
      </c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</row>
    <row r="252" spans="1:18">
      <c r="A252" s="178" t="s">
        <v>2</v>
      </c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</row>
    <row r="253" spans="1:18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8" ht="15.6" customHeight="1">
      <c r="A254" s="179" t="s">
        <v>3</v>
      </c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</row>
    <row r="255" spans="1:18" ht="15.95" customHeight="1">
      <c r="A255" s="3"/>
      <c r="B255" s="3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3"/>
    </row>
    <row r="256" spans="1:18">
      <c r="A256" s="5" t="s">
        <v>4</v>
      </c>
      <c r="B256" s="176"/>
      <c r="C256" s="176"/>
      <c r="D256" s="5" t="s">
        <v>5</v>
      </c>
      <c r="E256" s="176" t="s">
        <v>67</v>
      </c>
      <c r="F256" s="176"/>
      <c r="G256" s="7"/>
      <c r="H256" s="5" t="s">
        <v>7</v>
      </c>
      <c r="I256" s="6" t="s">
        <v>65</v>
      </c>
      <c r="J256" s="181" t="s">
        <v>9</v>
      </c>
      <c r="K256" s="181"/>
      <c r="L256" s="181"/>
      <c r="M256" s="150" t="s">
        <v>68</v>
      </c>
      <c r="O256" s="72">
        <v>14</v>
      </c>
    </row>
    <row r="257" spans="1:15">
      <c r="A257" s="10"/>
      <c r="B257" s="10"/>
      <c r="C257" s="11"/>
      <c r="D257" s="5"/>
      <c r="E257" s="5"/>
      <c r="F257" s="12"/>
      <c r="G257" s="12"/>
      <c r="H257" s="5"/>
      <c r="I257" s="11"/>
      <c r="J257" s="13"/>
      <c r="K257" s="13"/>
      <c r="L257" s="13"/>
      <c r="M257" s="12"/>
      <c r="O257" s="73"/>
    </row>
    <row r="258" spans="1:15">
      <c r="A258" s="167" t="s">
        <v>12</v>
      </c>
      <c r="B258" s="163"/>
      <c r="C258" s="14"/>
      <c r="D258" s="163" t="s">
        <v>42</v>
      </c>
      <c r="E258" s="163" t="s">
        <v>43</v>
      </c>
      <c r="F258" s="163" t="s">
        <v>14</v>
      </c>
      <c r="G258" s="16"/>
      <c r="H258" s="167" t="s">
        <v>15</v>
      </c>
      <c r="I258" s="163" t="s">
        <v>13</v>
      </c>
      <c r="J258" s="169" t="s">
        <v>14</v>
      </c>
      <c r="K258" s="16"/>
      <c r="L258" s="17"/>
      <c r="M258" s="171" t="s">
        <v>16</v>
      </c>
      <c r="O258" s="74" t="s">
        <v>30</v>
      </c>
    </row>
    <row r="259" spans="1:15">
      <c r="A259" s="168"/>
      <c r="B259" s="164"/>
      <c r="C259" s="19"/>
      <c r="D259" s="164"/>
      <c r="E259" s="164"/>
      <c r="F259" s="164"/>
      <c r="G259" s="21"/>
      <c r="H259" s="168"/>
      <c r="I259" s="164"/>
      <c r="J259" s="170"/>
      <c r="K259" s="21"/>
      <c r="L259" s="17"/>
      <c r="M259" s="172"/>
      <c r="O259" s="75">
        <f>M264</f>
        <v>1552</v>
      </c>
    </row>
    <row r="260" spans="1:15">
      <c r="A260" s="173" t="s">
        <v>17</v>
      </c>
      <c r="B260" s="174"/>
      <c r="C260" s="23"/>
      <c r="D260" s="145">
        <v>1000</v>
      </c>
      <c r="E260" s="146">
        <v>1</v>
      </c>
      <c r="F260" s="104">
        <f>D260*E260</f>
        <v>1000</v>
      </c>
      <c r="G260" s="25"/>
      <c r="H260" s="22" t="s">
        <v>38</v>
      </c>
      <c r="I260" s="95">
        <v>0.03</v>
      </c>
      <c r="J260" s="27">
        <f>F267*3%</f>
        <v>48</v>
      </c>
      <c r="K260" s="25"/>
      <c r="L260" s="28"/>
      <c r="M260" s="78" t="str">
        <f>M11</f>
        <v>31 มกราคม 2569</v>
      </c>
      <c r="O260" s="74" t="s">
        <v>31</v>
      </c>
    </row>
    <row r="261" spans="1:15">
      <c r="A261" s="175"/>
      <c r="B261" s="176"/>
      <c r="C261" s="105"/>
      <c r="D261" s="147"/>
      <c r="E261" s="147"/>
      <c r="F261" s="108">
        <v>600</v>
      </c>
      <c r="G261" s="36"/>
      <c r="H261" s="139"/>
      <c r="I261" s="148"/>
      <c r="J261" s="149"/>
      <c r="K261" s="39"/>
      <c r="L261" s="40"/>
      <c r="M261" s="17"/>
      <c r="O261" s="85">
        <f>(((O259/30)/8)/60)</f>
        <v>0.10777777777777778</v>
      </c>
    </row>
    <row r="262" spans="1:15">
      <c r="A262" s="159"/>
      <c r="B262" s="160"/>
      <c r="C262" s="96"/>
      <c r="D262" s="106"/>
      <c r="E262" s="106"/>
      <c r="F262" s="108"/>
      <c r="G262" s="36"/>
      <c r="H262" s="41"/>
      <c r="I262" s="42"/>
      <c r="J262" s="43"/>
      <c r="K262" s="39"/>
      <c r="L262" s="40"/>
      <c r="M262" s="171" t="s">
        <v>23</v>
      </c>
    </row>
    <row r="263" spans="1:15">
      <c r="A263" s="159"/>
      <c r="B263" s="160"/>
      <c r="C263" s="80"/>
      <c r="D263" s="80"/>
      <c r="E263" s="80"/>
      <c r="F263" s="113"/>
      <c r="G263" s="36"/>
      <c r="H263" s="41"/>
      <c r="I263" s="42"/>
      <c r="J263" s="43"/>
      <c r="K263" s="39"/>
      <c r="L263" s="40"/>
      <c r="M263" s="172"/>
    </row>
    <row r="264" spans="1:15" ht="15.95" customHeight="1">
      <c r="A264" s="159"/>
      <c r="B264" s="160"/>
      <c r="C264" s="47"/>
      <c r="D264" s="12" t="s">
        <v>11</v>
      </c>
      <c r="E264" s="12"/>
      <c r="F264" s="115"/>
      <c r="G264" s="36"/>
      <c r="H264" s="41"/>
      <c r="I264" s="42"/>
      <c r="J264" s="43"/>
      <c r="K264" s="39"/>
      <c r="L264" s="40"/>
      <c r="M264" s="161">
        <f>F267-J267</f>
        <v>1552</v>
      </c>
    </row>
    <row r="265" spans="1:15" ht="15.95" customHeight="1">
      <c r="A265" s="159"/>
      <c r="B265" s="160"/>
      <c r="C265" s="47"/>
      <c r="D265" s="12"/>
      <c r="E265" s="12"/>
      <c r="F265" s="115"/>
      <c r="G265" s="36"/>
      <c r="H265" s="41"/>
      <c r="I265" s="42"/>
      <c r="J265" s="43"/>
      <c r="K265" s="39"/>
      <c r="L265" s="40"/>
      <c r="M265" s="162"/>
    </row>
    <row r="266" spans="1:15">
      <c r="A266" s="159"/>
      <c r="B266" s="160"/>
      <c r="C266" s="52"/>
      <c r="D266" s="52"/>
      <c r="E266" s="52"/>
      <c r="F266" s="116"/>
      <c r="G266" s="53"/>
      <c r="H266" s="54"/>
      <c r="I266" s="51"/>
      <c r="J266" s="55"/>
      <c r="K266" s="56"/>
      <c r="L266" s="57"/>
      <c r="M266" s="7"/>
    </row>
    <row r="267" spans="1:15">
      <c r="A267" s="58"/>
      <c r="B267" s="59"/>
      <c r="C267" s="60"/>
      <c r="D267" s="163" t="s">
        <v>24</v>
      </c>
      <c r="E267" s="117"/>
      <c r="F267" s="165">
        <f>SUM(F260:F266)</f>
        <v>1600</v>
      </c>
      <c r="G267" s="62"/>
      <c r="H267" s="167" t="s">
        <v>25</v>
      </c>
      <c r="I267" s="163"/>
      <c r="J267" s="165">
        <f>SUM(J260:J266)</f>
        <v>48</v>
      </c>
      <c r="K267" s="62"/>
      <c r="L267" s="57"/>
      <c r="M267" s="118"/>
    </row>
    <row r="268" spans="1:15">
      <c r="A268" s="65"/>
      <c r="B268" s="66"/>
      <c r="C268" s="66"/>
      <c r="D268" s="164"/>
      <c r="E268" s="119"/>
      <c r="F268" s="166"/>
      <c r="G268" s="68"/>
      <c r="H268" s="168"/>
      <c r="I268" s="164"/>
      <c r="J268" s="166"/>
      <c r="K268" s="68"/>
      <c r="L268" s="57"/>
      <c r="M268" s="46" t="s">
        <v>26</v>
      </c>
    </row>
    <row r="269" spans="1:15">
      <c r="A269" s="177" t="s">
        <v>0</v>
      </c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</row>
    <row r="270" spans="1:15">
      <c r="A270" s="178" t="s">
        <v>1</v>
      </c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</row>
    <row r="271" spans="1:15">
      <c r="A271" s="178" t="s">
        <v>2</v>
      </c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</row>
    <row r="272" spans="1:15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5" ht="15.6" customHeight="1">
      <c r="A273" s="179" t="s">
        <v>3</v>
      </c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</row>
    <row r="274" spans="1:15" ht="15.6" customHeight="1">
      <c r="A274" s="3"/>
      <c r="B274" s="3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3"/>
    </row>
    <row r="275" spans="1:15">
      <c r="A275" s="5" t="s">
        <v>4</v>
      </c>
      <c r="B275" s="176">
        <v>202164</v>
      </c>
      <c r="C275" s="176"/>
      <c r="D275" s="5" t="s">
        <v>5</v>
      </c>
      <c r="E275" s="176" t="s">
        <v>69</v>
      </c>
      <c r="F275" s="176"/>
      <c r="G275" s="7"/>
      <c r="H275" s="5" t="s">
        <v>7</v>
      </c>
      <c r="I275" s="98" t="s">
        <v>47</v>
      </c>
      <c r="J275" s="181" t="s">
        <v>9</v>
      </c>
      <c r="K275" s="181"/>
      <c r="L275" s="181"/>
      <c r="M275" s="151" t="s">
        <v>70</v>
      </c>
      <c r="O275" s="72">
        <v>15</v>
      </c>
    </row>
    <row r="276" spans="1:15">
      <c r="A276" s="10"/>
      <c r="B276" s="10"/>
      <c r="C276" s="11"/>
      <c r="D276" s="5"/>
      <c r="E276" s="5"/>
      <c r="F276" s="12"/>
      <c r="G276" s="12"/>
      <c r="H276" s="5"/>
      <c r="I276" s="11"/>
      <c r="J276" s="13"/>
      <c r="K276" s="13"/>
      <c r="L276" s="13"/>
      <c r="M276" s="12"/>
      <c r="O276" s="73"/>
    </row>
    <row r="277" spans="1:15">
      <c r="A277" s="167" t="s">
        <v>12</v>
      </c>
      <c r="B277" s="163"/>
      <c r="C277" s="14"/>
      <c r="D277" s="163" t="s">
        <v>13</v>
      </c>
      <c r="E277" s="169" t="s">
        <v>14</v>
      </c>
      <c r="F277" s="169"/>
      <c r="G277" s="16"/>
      <c r="H277" s="167" t="s">
        <v>15</v>
      </c>
      <c r="I277" s="163" t="s">
        <v>13</v>
      </c>
      <c r="J277" s="169" t="s">
        <v>14</v>
      </c>
      <c r="K277" s="16"/>
      <c r="L277" s="17"/>
      <c r="M277" s="171" t="s">
        <v>16</v>
      </c>
      <c r="O277" s="74" t="s">
        <v>30</v>
      </c>
    </row>
    <row r="278" spans="1:15">
      <c r="A278" s="168"/>
      <c r="B278" s="164"/>
      <c r="C278" s="19"/>
      <c r="D278" s="164"/>
      <c r="E278" s="170"/>
      <c r="F278" s="170"/>
      <c r="G278" s="21"/>
      <c r="H278" s="168"/>
      <c r="I278" s="164"/>
      <c r="J278" s="170"/>
      <c r="K278" s="21"/>
      <c r="L278" s="17"/>
      <c r="M278" s="172"/>
      <c r="O278" s="75">
        <f>F279</f>
        <v>22000</v>
      </c>
    </row>
    <row r="279" spans="1:15">
      <c r="A279" s="173" t="s">
        <v>17</v>
      </c>
      <c r="B279" s="174"/>
      <c r="C279" s="23"/>
      <c r="D279" s="23"/>
      <c r="E279" s="23"/>
      <c r="F279" s="104">
        <v>22000</v>
      </c>
      <c r="G279" s="25"/>
      <c r="H279" s="22" t="s">
        <v>18</v>
      </c>
      <c r="I279" s="95">
        <v>0.05</v>
      </c>
      <c r="J279" s="27">
        <f>IF(F279&lt;17500,F279*5%,17500*5%)</f>
        <v>875</v>
      </c>
      <c r="K279" s="25"/>
      <c r="L279" s="28"/>
      <c r="M279" s="78" t="str">
        <f>M11</f>
        <v>31 มกราคม 2569</v>
      </c>
      <c r="O279" s="74" t="s">
        <v>31</v>
      </c>
    </row>
    <row r="280" spans="1:15">
      <c r="A280" s="175"/>
      <c r="B280" s="176"/>
      <c r="C280" s="105"/>
      <c r="D280" s="147"/>
      <c r="E280" s="147"/>
      <c r="F280" s="38"/>
      <c r="G280" s="36"/>
      <c r="H280" s="109" t="s">
        <v>50</v>
      </c>
      <c r="I280" s="110">
        <v>8</v>
      </c>
      <c r="J280" s="108">
        <f>I280*O280</f>
        <v>12.222222222222223</v>
      </c>
      <c r="K280" s="39"/>
      <c r="L280" s="40"/>
      <c r="M280" s="17"/>
      <c r="O280" s="85">
        <f>(((O278/30)/8)/60)</f>
        <v>1.5277777777777779</v>
      </c>
    </row>
    <row r="281" spans="1:15">
      <c r="A281" s="159"/>
      <c r="B281" s="160"/>
      <c r="C281" s="96"/>
      <c r="D281" s="106"/>
      <c r="E281" s="106"/>
      <c r="F281" s="108"/>
      <c r="G281" s="36"/>
      <c r="H281" s="175"/>
      <c r="I281" s="176"/>
      <c r="J281" s="38"/>
      <c r="K281" s="39"/>
      <c r="L281" s="40"/>
      <c r="M281" s="171" t="s">
        <v>23</v>
      </c>
    </row>
    <row r="282" spans="1:15">
      <c r="A282" s="159"/>
      <c r="B282" s="160"/>
      <c r="C282" s="80"/>
      <c r="D282" s="80"/>
      <c r="E282" s="80"/>
      <c r="F282" s="113"/>
      <c r="G282" s="36"/>
      <c r="H282" s="41"/>
      <c r="I282" s="42"/>
      <c r="J282" s="43"/>
      <c r="K282" s="39"/>
      <c r="L282" s="40"/>
      <c r="M282" s="172"/>
      <c r="O282" s="87"/>
    </row>
    <row r="283" spans="1:15">
      <c r="A283" s="159"/>
      <c r="B283" s="160"/>
      <c r="C283" s="47"/>
      <c r="D283" s="12" t="s">
        <v>11</v>
      </c>
      <c r="E283" s="12"/>
      <c r="F283" s="115"/>
      <c r="G283" s="36"/>
      <c r="H283" s="41"/>
      <c r="I283" s="42"/>
      <c r="J283" s="43"/>
      <c r="K283" s="39"/>
      <c r="L283" s="40"/>
      <c r="M283" s="161">
        <f>F286-J286</f>
        <v>21112.777777777777</v>
      </c>
    </row>
    <row r="284" spans="1:15">
      <c r="A284" s="159"/>
      <c r="B284" s="160"/>
      <c r="C284" s="47"/>
      <c r="D284" s="12"/>
      <c r="E284" s="12"/>
      <c r="F284" s="115"/>
      <c r="G284" s="36"/>
      <c r="H284" s="41"/>
      <c r="I284" s="42"/>
      <c r="J284" s="43"/>
      <c r="K284" s="39"/>
      <c r="L284" s="40"/>
      <c r="M284" s="162"/>
    </row>
    <row r="285" spans="1:15">
      <c r="A285" s="159"/>
      <c r="B285" s="160"/>
      <c r="C285" s="52"/>
      <c r="D285" s="52"/>
      <c r="E285" s="52"/>
      <c r="F285" s="116"/>
      <c r="G285" s="53"/>
      <c r="H285" s="54"/>
      <c r="I285" s="51"/>
      <c r="J285" s="55"/>
      <c r="K285" s="56"/>
      <c r="L285" s="57"/>
      <c r="M285" s="7"/>
    </row>
    <row r="286" spans="1:15">
      <c r="A286" s="58"/>
      <c r="B286" s="59"/>
      <c r="C286" s="60"/>
      <c r="D286" s="163" t="s">
        <v>24</v>
      </c>
      <c r="E286" s="117"/>
      <c r="F286" s="165">
        <f>SUM(F279:F285)</f>
        <v>22000</v>
      </c>
      <c r="G286" s="62"/>
      <c r="H286" s="167" t="s">
        <v>25</v>
      </c>
      <c r="I286" s="163"/>
      <c r="J286" s="165">
        <f>SUM(J279:J285)</f>
        <v>887.22222222222217</v>
      </c>
      <c r="K286" s="62"/>
      <c r="L286" s="57"/>
      <c r="M286" s="118"/>
    </row>
    <row r="287" spans="1:15">
      <c r="A287" s="65"/>
      <c r="B287" s="66"/>
      <c r="C287" s="66"/>
      <c r="D287" s="164"/>
      <c r="E287" s="119"/>
      <c r="F287" s="166"/>
      <c r="G287" s="68"/>
      <c r="H287" s="168"/>
      <c r="I287" s="164"/>
      <c r="J287" s="166"/>
      <c r="K287" s="68"/>
      <c r="L287" s="57"/>
      <c r="M287" s="46" t="s">
        <v>26</v>
      </c>
    </row>
    <row r="288" spans="1:15">
      <c r="A288" s="177" t="s">
        <v>0</v>
      </c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</row>
    <row r="289" spans="1:17">
      <c r="A289" s="178" t="s">
        <v>1</v>
      </c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</row>
    <row r="290" spans="1:17">
      <c r="A290" s="178" t="s">
        <v>2</v>
      </c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</row>
    <row r="291" spans="1:1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7" ht="19.5" customHeight="1">
      <c r="A292" s="179" t="s">
        <v>3</v>
      </c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</row>
    <row r="293" spans="1:17" ht="18.95" customHeight="1">
      <c r="A293" s="3"/>
      <c r="B293" s="3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3"/>
    </row>
    <row r="294" spans="1:17">
      <c r="A294" s="5" t="s">
        <v>4</v>
      </c>
      <c r="B294" s="176">
        <v>202165</v>
      </c>
      <c r="C294" s="176"/>
      <c r="D294" s="5" t="s">
        <v>5</v>
      </c>
      <c r="E294" s="176" t="s">
        <v>71</v>
      </c>
      <c r="F294" s="176"/>
      <c r="G294" s="7"/>
      <c r="H294" s="5" t="s">
        <v>7</v>
      </c>
      <c r="I294" s="98" t="s">
        <v>47</v>
      </c>
      <c r="J294" s="181" t="s">
        <v>9</v>
      </c>
      <c r="K294" s="181"/>
      <c r="L294" s="181"/>
      <c r="M294" s="138" t="s">
        <v>72</v>
      </c>
      <c r="O294" s="72">
        <v>16</v>
      </c>
    </row>
    <row r="295" spans="1:17">
      <c r="A295" s="10"/>
      <c r="B295" s="10"/>
      <c r="C295" s="11"/>
      <c r="D295" s="5"/>
      <c r="E295" s="5"/>
      <c r="F295" s="12"/>
      <c r="G295" s="12"/>
      <c r="H295" s="5"/>
      <c r="I295" s="11"/>
      <c r="J295" s="13"/>
      <c r="K295" s="13"/>
      <c r="L295" s="13"/>
      <c r="M295" s="12"/>
      <c r="O295" s="73"/>
    </row>
    <row r="296" spans="1:17">
      <c r="A296" s="167" t="s">
        <v>12</v>
      </c>
      <c r="B296" s="163"/>
      <c r="C296" s="14"/>
      <c r="D296" s="163" t="s">
        <v>13</v>
      </c>
      <c r="E296" s="169" t="s">
        <v>14</v>
      </c>
      <c r="F296" s="169"/>
      <c r="G296" s="16"/>
      <c r="H296" s="167" t="s">
        <v>15</v>
      </c>
      <c r="I296" s="163" t="s">
        <v>13</v>
      </c>
      <c r="J296" s="169" t="s">
        <v>14</v>
      </c>
      <c r="K296" s="16"/>
      <c r="L296" s="17"/>
      <c r="M296" s="171" t="s">
        <v>16</v>
      </c>
      <c r="O296" s="74" t="s">
        <v>30</v>
      </c>
    </row>
    <row r="297" spans="1:17">
      <c r="A297" s="168"/>
      <c r="B297" s="164"/>
      <c r="C297" s="19"/>
      <c r="D297" s="164"/>
      <c r="E297" s="170"/>
      <c r="F297" s="170"/>
      <c r="G297" s="21"/>
      <c r="H297" s="168"/>
      <c r="I297" s="164"/>
      <c r="J297" s="170"/>
      <c r="K297" s="21"/>
      <c r="L297" s="17"/>
      <c r="M297" s="172"/>
      <c r="O297" s="75">
        <f>F298</f>
        <v>23000</v>
      </c>
    </row>
    <row r="298" spans="1:17">
      <c r="A298" s="173" t="s">
        <v>17</v>
      </c>
      <c r="B298" s="174"/>
      <c r="C298" s="23"/>
      <c r="D298" s="23"/>
      <c r="E298" s="23"/>
      <c r="F298" s="104">
        <v>23000</v>
      </c>
      <c r="G298" s="25"/>
      <c r="H298" s="22" t="s">
        <v>18</v>
      </c>
      <c r="I298" s="95">
        <v>0.05</v>
      </c>
      <c r="J298" s="27">
        <f>IF(F298&lt;17500,F298*5%,17500*5%)</f>
        <v>875</v>
      </c>
      <c r="K298" s="25"/>
      <c r="L298" s="28"/>
      <c r="M298" s="78" t="str">
        <f>M11</f>
        <v>31 มกราคม 2569</v>
      </c>
      <c r="O298" s="74" t="s">
        <v>31</v>
      </c>
      <c r="Q298" t="s">
        <v>11</v>
      </c>
    </row>
    <row r="299" spans="1:17">
      <c r="A299" s="175"/>
      <c r="B299" s="176"/>
      <c r="C299" s="105"/>
      <c r="D299" s="147"/>
      <c r="E299" s="147"/>
      <c r="F299" s="38"/>
      <c r="G299" s="36"/>
      <c r="H299" s="109" t="s">
        <v>50</v>
      </c>
      <c r="I299" s="110">
        <v>0</v>
      </c>
      <c r="J299" s="108">
        <f>O299*I299</f>
        <v>0</v>
      </c>
      <c r="K299" s="39"/>
      <c r="L299" s="40"/>
      <c r="M299" s="17"/>
      <c r="O299" s="85">
        <f>(((O297/30)/8)/60)</f>
        <v>1.5972222222222221</v>
      </c>
    </row>
    <row r="300" spans="1:17">
      <c r="A300" s="159"/>
      <c r="B300" s="160"/>
      <c r="C300" s="96"/>
      <c r="D300" s="106"/>
      <c r="E300" s="106"/>
      <c r="F300" s="108"/>
      <c r="G300" s="36"/>
      <c r="H300" s="41"/>
      <c r="I300" s="42"/>
      <c r="J300" s="43"/>
      <c r="K300" s="39"/>
      <c r="L300" s="40"/>
      <c r="M300" s="171" t="s">
        <v>23</v>
      </c>
    </row>
    <row r="301" spans="1:17">
      <c r="A301" s="159"/>
      <c r="B301" s="160"/>
      <c r="C301" s="80"/>
      <c r="D301" s="80"/>
      <c r="E301" s="80"/>
      <c r="F301" s="113"/>
      <c r="G301" s="36"/>
      <c r="H301" s="41"/>
      <c r="I301" s="42"/>
      <c r="J301" s="43"/>
      <c r="K301" s="39"/>
      <c r="L301" s="40"/>
      <c r="M301" s="172"/>
      <c r="O301" s="87"/>
    </row>
    <row r="302" spans="1:17">
      <c r="A302" s="159"/>
      <c r="B302" s="160"/>
      <c r="C302" s="47"/>
      <c r="D302" s="12" t="s">
        <v>11</v>
      </c>
      <c r="E302" s="12"/>
      <c r="F302" s="115"/>
      <c r="G302" s="36"/>
      <c r="H302" s="41"/>
      <c r="I302" s="42"/>
      <c r="J302" s="43"/>
      <c r="K302" s="39"/>
      <c r="L302" s="40"/>
      <c r="M302" s="161">
        <f>F305-J305</f>
        <v>22125</v>
      </c>
    </row>
    <row r="303" spans="1:17">
      <c r="A303" s="159"/>
      <c r="B303" s="160"/>
      <c r="C303" s="47"/>
      <c r="D303" s="12"/>
      <c r="E303" s="12"/>
      <c r="F303" s="115"/>
      <c r="G303" s="36"/>
      <c r="H303" s="41"/>
      <c r="I303" s="42"/>
      <c r="J303" s="43"/>
      <c r="K303" s="39"/>
      <c r="L303" s="40"/>
      <c r="M303" s="162"/>
    </row>
    <row r="304" spans="1:17">
      <c r="A304" s="159"/>
      <c r="B304" s="160"/>
      <c r="C304" s="52"/>
      <c r="D304" s="52"/>
      <c r="E304" s="52"/>
      <c r="F304" s="116"/>
      <c r="G304" s="53"/>
      <c r="H304" s="54"/>
      <c r="I304" s="51"/>
      <c r="J304" s="55"/>
      <c r="K304" s="56"/>
      <c r="L304" s="57"/>
      <c r="M304" s="7"/>
    </row>
    <row r="305" spans="1:15">
      <c r="A305" s="58"/>
      <c r="B305" s="59"/>
      <c r="C305" s="60"/>
      <c r="D305" s="163" t="s">
        <v>24</v>
      </c>
      <c r="E305" s="117"/>
      <c r="F305" s="165">
        <f>SUM(F298:F304)</f>
        <v>23000</v>
      </c>
      <c r="G305" s="62"/>
      <c r="H305" s="167" t="s">
        <v>25</v>
      </c>
      <c r="I305" s="163"/>
      <c r="J305" s="165">
        <f>SUM(J298:J304)</f>
        <v>875</v>
      </c>
      <c r="K305" s="62"/>
      <c r="L305" s="57"/>
      <c r="M305" s="118"/>
    </row>
    <row r="306" spans="1:15">
      <c r="A306" s="65"/>
      <c r="B306" s="66"/>
      <c r="C306" s="66"/>
      <c r="D306" s="164"/>
      <c r="E306" s="119"/>
      <c r="F306" s="166"/>
      <c r="G306" s="68"/>
      <c r="H306" s="168"/>
      <c r="I306" s="164"/>
      <c r="J306" s="166"/>
      <c r="K306" s="68"/>
      <c r="L306" s="57"/>
      <c r="M306" s="46" t="s">
        <v>26</v>
      </c>
    </row>
    <row r="307" spans="1:15">
      <c r="A307" s="177" t="s">
        <v>0</v>
      </c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</row>
    <row r="308" spans="1:15">
      <c r="A308" s="178" t="s">
        <v>1</v>
      </c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</row>
    <row r="309" spans="1:15">
      <c r="A309" s="178" t="s">
        <v>2</v>
      </c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</row>
    <row r="310" spans="1: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5" ht="15.6" customHeight="1">
      <c r="A311" s="179" t="s">
        <v>3</v>
      </c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</row>
    <row r="312" spans="1:15" ht="15.6" customHeight="1">
      <c r="A312" s="3"/>
      <c r="B312" s="3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3"/>
    </row>
    <row r="313" spans="1:15">
      <c r="A313" s="5" t="s">
        <v>4</v>
      </c>
      <c r="B313" s="176"/>
      <c r="C313" s="176"/>
      <c r="D313" s="5" t="s">
        <v>5</v>
      </c>
      <c r="E313" s="180" t="s">
        <v>73</v>
      </c>
      <c r="F313" s="180"/>
      <c r="G313" s="7"/>
      <c r="H313" s="5" t="s">
        <v>7</v>
      </c>
      <c r="I313" s="6" t="s">
        <v>65</v>
      </c>
      <c r="J313" s="181" t="s">
        <v>9</v>
      </c>
      <c r="K313" s="181"/>
      <c r="L313" s="181"/>
      <c r="M313" s="138" t="s">
        <v>74</v>
      </c>
      <c r="O313" s="72">
        <v>17</v>
      </c>
    </row>
    <row r="314" spans="1:15">
      <c r="A314" s="10"/>
      <c r="B314" s="10"/>
      <c r="C314" s="11"/>
      <c r="D314" s="5"/>
      <c r="E314" s="5"/>
      <c r="F314" s="12"/>
      <c r="G314" s="12"/>
      <c r="H314" s="5"/>
      <c r="I314" s="11"/>
      <c r="J314" s="13"/>
      <c r="K314" s="13"/>
      <c r="L314" s="13"/>
      <c r="M314" s="12"/>
      <c r="O314" s="73"/>
    </row>
    <row r="315" spans="1:15">
      <c r="A315" s="167" t="s">
        <v>12</v>
      </c>
      <c r="B315" s="163"/>
      <c r="C315" s="14"/>
      <c r="D315" s="163" t="s">
        <v>35</v>
      </c>
      <c r="E315" s="163" t="s">
        <v>36</v>
      </c>
      <c r="F315" s="163" t="s">
        <v>14</v>
      </c>
      <c r="G315" s="16"/>
      <c r="H315" s="167" t="s">
        <v>15</v>
      </c>
      <c r="I315" s="163" t="s">
        <v>13</v>
      </c>
      <c r="J315" s="169" t="s">
        <v>14</v>
      </c>
      <c r="K315" s="16"/>
      <c r="L315" s="17"/>
      <c r="M315" s="171" t="s">
        <v>16</v>
      </c>
      <c r="O315" s="74" t="s">
        <v>30</v>
      </c>
    </row>
    <row r="316" spans="1:15">
      <c r="A316" s="168"/>
      <c r="B316" s="164"/>
      <c r="C316" s="19"/>
      <c r="D316" s="164"/>
      <c r="E316" s="164"/>
      <c r="F316" s="164"/>
      <c r="G316" s="21"/>
      <c r="H316" s="168"/>
      <c r="I316" s="164"/>
      <c r="J316" s="170"/>
      <c r="K316" s="21"/>
      <c r="L316" s="17"/>
      <c r="M316" s="172"/>
      <c r="O316" s="75">
        <f>F317</f>
        <v>3000</v>
      </c>
    </row>
    <row r="317" spans="1:15">
      <c r="A317" s="173" t="s">
        <v>17</v>
      </c>
      <c r="B317" s="174"/>
      <c r="C317" s="23"/>
      <c r="D317" s="141">
        <v>600</v>
      </c>
      <c r="E317" s="141">
        <v>5</v>
      </c>
      <c r="F317" s="94">
        <f>D317*E317</f>
        <v>3000</v>
      </c>
      <c r="G317" s="25"/>
      <c r="H317" s="22" t="s">
        <v>38</v>
      </c>
      <c r="I317" s="95">
        <v>0.03</v>
      </c>
      <c r="J317" s="27">
        <f>F324*3%</f>
        <v>90</v>
      </c>
      <c r="K317" s="25"/>
      <c r="L317" s="28"/>
      <c r="M317" s="78" t="str">
        <f>M11</f>
        <v>31 มกราคม 2569</v>
      </c>
      <c r="O317" s="74" t="s">
        <v>31</v>
      </c>
    </row>
    <row r="318" spans="1:15">
      <c r="A318" s="175"/>
      <c r="B318" s="176"/>
      <c r="C318" s="105"/>
      <c r="D318" s="152"/>
      <c r="E318" s="152"/>
      <c r="F318" s="153"/>
      <c r="G318" s="36"/>
      <c r="H318" s="139"/>
      <c r="I318" s="148"/>
      <c r="J318" s="149"/>
      <c r="K318" s="39"/>
      <c r="L318" s="40"/>
      <c r="M318" s="17"/>
      <c r="O318" s="85">
        <f>(((O316/30)/8)/60)</f>
        <v>0.20833333333333334</v>
      </c>
    </row>
    <row r="319" spans="1:15">
      <c r="A319" s="159"/>
      <c r="B319" s="160"/>
      <c r="C319" s="96"/>
      <c r="D319" s="106"/>
      <c r="E319" s="106"/>
      <c r="F319" s="108"/>
      <c r="G319" s="36"/>
      <c r="H319" s="41"/>
      <c r="I319" s="42"/>
      <c r="J319" s="43"/>
      <c r="K319" s="39"/>
      <c r="L319" s="40"/>
      <c r="M319" s="171" t="s">
        <v>23</v>
      </c>
    </row>
    <row r="320" spans="1:15">
      <c r="A320" s="159"/>
      <c r="B320" s="160"/>
      <c r="C320" s="80"/>
      <c r="D320" s="80"/>
      <c r="E320" s="80"/>
      <c r="F320" s="113"/>
      <c r="G320" s="36"/>
      <c r="H320" s="41"/>
      <c r="I320" s="42"/>
      <c r="J320" s="43"/>
      <c r="K320" s="39"/>
      <c r="L320" s="40"/>
      <c r="M320" s="172"/>
      <c r="O320" s="87"/>
    </row>
    <row r="321" spans="1:18">
      <c r="A321" s="159"/>
      <c r="B321" s="160"/>
      <c r="C321" s="47"/>
      <c r="D321" s="12" t="s">
        <v>11</v>
      </c>
      <c r="E321" s="12"/>
      <c r="F321" s="115"/>
      <c r="G321" s="36"/>
      <c r="H321" s="41"/>
      <c r="I321" s="42"/>
      <c r="J321" s="43"/>
      <c r="K321" s="39"/>
      <c r="L321" s="40"/>
      <c r="M321" s="161">
        <f>F324-J324</f>
        <v>2910</v>
      </c>
    </row>
    <row r="322" spans="1:18">
      <c r="A322" s="159"/>
      <c r="B322" s="160"/>
      <c r="C322" s="47"/>
      <c r="D322" s="12"/>
      <c r="E322" s="12"/>
      <c r="F322" s="115"/>
      <c r="G322" s="36"/>
      <c r="H322" s="41"/>
      <c r="I322" s="42"/>
      <c r="J322" s="43"/>
      <c r="K322" s="39"/>
      <c r="L322" s="40"/>
      <c r="M322" s="162"/>
    </row>
    <row r="323" spans="1:18">
      <c r="A323" s="159"/>
      <c r="B323" s="160"/>
      <c r="C323" s="52"/>
      <c r="D323" s="52"/>
      <c r="E323" s="52"/>
      <c r="F323" s="116"/>
      <c r="G323" s="53"/>
      <c r="H323" s="54"/>
      <c r="I323" s="51"/>
      <c r="J323" s="55"/>
      <c r="K323" s="56"/>
      <c r="L323" s="57"/>
      <c r="M323" s="7"/>
    </row>
    <row r="324" spans="1:18">
      <c r="A324" s="58"/>
      <c r="B324" s="59"/>
      <c r="C324" s="60"/>
      <c r="D324" s="163" t="s">
        <v>24</v>
      </c>
      <c r="E324" s="117"/>
      <c r="F324" s="165">
        <f>SUM(F317:F323)</f>
        <v>3000</v>
      </c>
      <c r="G324" s="62"/>
      <c r="H324" s="167" t="s">
        <v>25</v>
      </c>
      <c r="I324" s="163"/>
      <c r="J324" s="165">
        <f>SUM(J317:J323)</f>
        <v>90</v>
      </c>
      <c r="K324" s="62"/>
      <c r="L324" s="57"/>
      <c r="M324" s="118"/>
    </row>
    <row r="325" spans="1:18">
      <c r="A325" s="65"/>
      <c r="B325" s="66"/>
      <c r="C325" s="66"/>
      <c r="D325" s="164"/>
      <c r="E325" s="119"/>
      <c r="F325" s="166"/>
      <c r="G325" s="68"/>
      <c r="H325" s="168"/>
      <c r="I325" s="164"/>
      <c r="J325" s="166"/>
      <c r="K325" s="68"/>
      <c r="L325" s="57"/>
      <c r="M325" s="46" t="s">
        <v>26</v>
      </c>
    </row>
    <row r="326" spans="1:18">
      <c r="A326" s="177" t="s">
        <v>0</v>
      </c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</row>
    <row r="327" spans="1:18">
      <c r="A327" s="178" t="s">
        <v>1</v>
      </c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</row>
    <row r="328" spans="1:18">
      <c r="A328" s="178" t="s">
        <v>2</v>
      </c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</row>
    <row r="329" spans="1:18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8" ht="18" customHeight="1">
      <c r="A330" s="179" t="s">
        <v>3</v>
      </c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</row>
    <row r="331" spans="1:18" ht="18.600000000000001" customHeight="1">
      <c r="A331" s="3"/>
      <c r="B331" s="3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3"/>
      <c r="Q331" s="154"/>
      <c r="R331" t="s">
        <v>11</v>
      </c>
    </row>
    <row r="332" spans="1:18">
      <c r="A332" s="5" t="s">
        <v>4</v>
      </c>
      <c r="B332" s="176"/>
      <c r="C332" s="176"/>
      <c r="D332" s="5" t="s">
        <v>5</v>
      </c>
      <c r="E332" s="180" t="s">
        <v>75</v>
      </c>
      <c r="F332" s="180"/>
      <c r="G332" s="7"/>
      <c r="H332" s="5" t="s">
        <v>7</v>
      </c>
      <c r="I332" s="6" t="s">
        <v>65</v>
      </c>
      <c r="J332" s="181" t="s">
        <v>9</v>
      </c>
      <c r="K332" s="181"/>
      <c r="L332" s="181"/>
      <c r="M332" s="138" t="s">
        <v>76</v>
      </c>
      <c r="O332" s="72">
        <v>18</v>
      </c>
    </row>
    <row r="333" spans="1:18">
      <c r="A333" s="10"/>
      <c r="B333" s="10"/>
      <c r="C333" s="11"/>
      <c r="D333" s="5"/>
      <c r="E333" s="5"/>
      <c r="F333" s="12"/>
      <c r="G333" s="12"/>
      <c r="H333" s="5"/>
      <c r="I333" s="11"/>
      <c r="J333" s="13"/>
      <c r="K333" s="13"/>
      <c r="L333" s="13"/>
      <c r="M333" s="12"/>
      <c r="O333" s="73"/>
    </row>
    <row r="334" spans="1:18">
      <c r="A334" s="167" t="s">
        <v>12</v>
      </c>
      <c r="B334" s="163"/>
      <c r="C334" s="14"/>
      <c r="D334" s="163" t="s">
        <v>35</v>
      </c>
      <c r="E334" s="163" t="s">
        <v>36</v>
      </c>
      <c r="F334" s="163" t="s">
        <v>14</v>
      </c>
      <c r="G334" s="16"/>
      <c r="H334" s="167" t="s">
        <v>15</v>
      </c>
      <c r="I334" s="163" t="s">
        <v>13</v>
      </c>
      <c r="J334" s="169" t="s">
        <v>14</v>
      </c>
      <c r="K334" s="16"/>
      <c r="L334" s="17"/>
      <c r="M334" s="171" t="s">
        <v>16</v>
      </c>
      <c r="O334" s="74" t="s">
        <v>30</v>
      </c>
    </row>
    <row r="335" spans="1:18">
      <c r="A335" s="168"/>
      <c r="B335" s="164"/>
      <c r="C335" s="19"/>
      <c r="D335" s="164"/>
      <c r="E335" s="164"/>
      <c r="F335" s="164"/>
      <c r="G335" s="21"/>
      <c r="H335" s="168"/>
      <c r="I335" s="164"/>
      <c r="J335" s="170"/>
      <c r="K335" s="21"/>
      <c r="L335" s="17"/>
      <c r="M335" s="172"/>
      <c r="O335" s="75">
        <f>F336</f>
        <v>3600</v>
      </c>
    </row>
    <row r="336" spans="1:18">
      <c r="A336" s="173" t="s">
        <v>17</v>
      </c>
      <c r="B336" s="174"/>
      <c r="C336" s="23"/>
      <c r="D336" s="141">
        <v>400</v>
      </c>
      <c r="E336" s="141">
        <v>9</v>
      </c>
      <c r="F336" s="94">
        <f>D336*E336</f>
        <v>3600</v>
      </c>
      <c r="G336" s="25"/>
      <c r="H336" s="22" t="s">
        <v>38</v>
      </c>
      <c r="I336" s="95">
        <v>0.03</v>
      </c>
      <c r="J336" s="27">
        <f>F343*3%</f>
        <v>108</v>
      </c>
      <c r="K336" s="25"/>
      <c r="L336" s="28"/>
      <c r="M336" s="78" t="str">
        <f>M317</f>
        <v>31 มกราคม 2569</v>
      </c>
      <c r="O336" s="74" t="s">
        <v>31</v>
      </c>
    </row>
    <row r="337" spans="1:19">
      <c r="A337" s="175"/>
      <c r="B337" s="176"/>
      <c r="C337" s="105"/>
      <c r="D337" s="152"/>
      <c r="E337" s="152"/>
      <c r="F337" s="149"/>
      <c r="G337" s="36"/>
      <c r="H337" s="139"/>
      <c r="I337" s="148"/>
      <c r="J337" s="149"/>
      <c r="K337" s="39"/>
      <c r="L337" s="40"/>
      <c r="M337" s="17"/>
      <c r="O337" s="85">
        <f>(((O335/30)/8)/60)</f>
        <v>0.25</v>
      </c>
    </row>
    <row r="338" spans="1:19">
      <c r="A338" s="159"/>
      <c r="B338" s="160"/>
      <c r="C338" s="96"/>
      <c r="D338" s="106"/>
      <c r="E338" s="106"/>
      <c r="F338" s="108"/>
      <c r="G338" s="36"/>
      <c r="H338" s="41"/>
      <c r="I338" s="42"/>
      <c r="J338" s="43"/>
      <c r="K338" s="39"/>
      <c r="L338" s="40"/>
      <c r="M338" s="171" t="s">
        <v>23</v>
      </c>
    </row>
    <row r="339" spans="1:19">
      <c r="A339" s="159"/>
      <c r="B339" s="160"/>
      <c r="C339" s="80"/>
      <c r="D339" s="80"/>
      <c r="E339" s="80"/>
      <c r="F339" s="113"/>
      <c r="G339" s="36"/>
      <c r="H339" s="41"/>
      <c r="I339" s="42"/>
      <c r="J339" s="43"/>
      <c r="K339" s="39"/>
      <c r="L339" s="40"/>
      <c r="M339" s="172"/>
      <c r="O339" s="87"/>
      <c r="S339" t="s">
        <v>11</v>
      </c>
    </row>
    <row r="340" spans="1:19" ht="15.95" customHeight="1">
      <c r="A340" s="159"/>
      <c r="B340" s="160"/>
      <c r="C340" s="47"/>
      <c r="D340" s="12" t="s">
        <v>11</v>
      </c>
      <c r="E340" s="12"/>
      <c r="F340" s="115"/>
      <c r="G340" s="36"/>
      <c r="H340" s="41"/>
      <c r="I340" s="42"/>
      <c r="J340" s="43"/>
      <c r="K340" s="39"/>
      <c r="L340" s="40"/>
      <c r="M340" s="161">
        <f>F343-J343</f>
        <v>3492</v>
      </c>
    </row>
    <row r="341" spans="1:19" ht="15.95" customHeight="1">
      <c r="A341" s="159"/>
      <c r="B341" s="160"/>
      <c r="C341" s="47"/>
      <c r="D341" s="12"/>
      <c r="E341" s="12"/>
      <c r="F341" s="115"/>
      <c r="G341" s="36"/>
      <c r="H341" s="41"/>
      <c r="I341" s="42"/>
      <c r="J341" s="43"/>
      <c r="K341" s="39"/>
      <c r="L341" s="40"/>
      <c r="M341" s="162"/>
    </row>
    <row r="342" spans="1:19">
      <c r="A342" s="159"/>
      <c r="B342" s="160"/>
      <c r="C342" s="52"/>
      <c r="D342" s="52"/>
      <c r="E342" s="52"/>
      <c r="F342" s="116"/>
      <c r="G342" s="53"/>
      <c r="H342" s="54"/>
      <c r="I342" s="51"/>
      <c r="J342" s="55"/>
      <c r="K342" s="56"/>
      <c r="L342" s="57"/>
      <c r="M342" s="7"/>
    </row>
    <row r="343" spans="1:19">
      <c r="A343" s="58"/>
      <c r="B343" s="59"/>
      <c r="C343" s="60"/>
      <c r="D343" s="163" t="s">
        <v>24</v>
      </c>
      <c r="E343" s="117"/>
      <c r="F343" s="165">
        <f>SUM(F336:F342)</f>
        <v>3600</v>
      </c>
      <c r="G343" s="62"/>
      <c r="H343" s="167" t="s">
        <v>25</v>
      </c>
      <c r="I343" s="163"/>
      <c r="J343" s="165">
        <f>SUM(J336:J342)</f>
        <v>108</v>
      </c>
      <c r="K343" s="62"/>
      <c r="L343" s="57"/>
      <c r="M343" s="118"/>
    </row>
    <row r="344" spans="1:19">
      <c r="A344" s="65"/>
      <c r="B344" s="66"/>
      <c r="C344" s="66"/>
      <c r="D344" s="164"/>
      <c r="E344" s="119"/>
      <c r="F344" s="166"/>
      <c r="G344" s="68"/>
      <c r="H344" s="168"/>
      <c r="I344" s="164"/>
      <c r="J344" s="166"/>
      <c r="K344" s="68"/>
      <c r="L344" s="57"/>
      <c r="M344" s="46" t="s">
        <v>26</v>
      </c>
    </row>
    <row r="345" spans="1:19">
      <c r="A345" s="177" t="s">
        <v>0</v>
      </c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71"/>
    </row>
    <row r="346" spans="1:19">
      <c r="A346" s="178" t="s">
        <v>1</v>
      </c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3"/>
    </row>
    <row r="347" spans="1:19">
      <c r="A347" s="178" t="s">
        <v>2</v>
      </c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3"/>
    </row>
    <row r="348" spans="1:19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9" ht="12.6" customHeight="1">
      <c r="A349" s="179" t="s">
        <v>3</v>
      </c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3"/>
    </row>
    <row r="350" spans="1:19" ht="14.45" customHeight="1">
      <c r="A350" s="3"/>
      <c r="B350" s="3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3"/>
      <c r="N350" s="3"/>
      <c r="Q350" s="155"/>
    </row>
    <row r="351" spans="1:19">
      <c r="A351" s="5" t="s">
        <v>4</v>
      </c>
      <c r="B351" s="93">
        <v>202149</v>
      </c>
      <c r="D351" s="5" t="s">
        <v>5</v>
      </c>
      <c r="E351" s="136" t="s">
        <v>77</v>
      </c>
      <c r="F351" s="80"/>
      <c r="G351" s="7"/>
      <c r="H351" s="5" t="s">
        <v>7</v>
      </c>
      <c r="I351" s="6" t="s">
        <v>33</v>
      </c>
      <c r="J351" s="181" t="s">
        <v>9</v>
      </c>
      <c r="K351" s="181"/>
      <c r="L351" s="181"/>
      <c r="M351" s="156" t="s">
        <v>78</v>
      </c>
      <c r="N351" s="80"/>
      <c r="O351" s="72">
        <v>19</v>
      </c>
    </row>
    <row r="352" spans="1:19">
      <c r="A352" s="10"/>
      <c r="B352" s="10"/>
      <c r="C352" s="11"/>
      <c r="D352" s="5"/>
      <c r="E352" s="5"/>
      <c r="F352" s="12"/>
      <c r="G352" s="12"/>
      <c r="H352" s="5"/>
      <c r="I352" s="11"/>
      <c r="J352" s="13"/>
      <c r="K352" s="13"/>
      <c r="L352" s="13"/>
      <c r="M352" s="12"/>
      <c r="N352" s="12"/>
      <c r="O352" s="73"/>
    </row>
    <row r="353" spans="1:15">
      <c r="A353" s="167" t="s">
        <v>12</v>
      </c>
      <c r="B353" s="163"/>
      <c r="C353" s="14"/>
      <c r="D353" s="163" t="s">
        <v>42</v>
      </c>
      <c r="E353" s="163" t="s">
        <v>43</v>
      </c>
      <c r="F353" s="163" t="s">
        <v>14</v>
      </c>
      <c r="G353" s="16"/>
      <c r="H353" s="167" t="s">
        <v>15</v>
      </c>
      <c r="I353" s="163" t="s">
        <v>13</v>
      </c>
      <c r="J353" s="169" t="s">
        <v>14</v>
      </c>
      <c r="K353" s="16"/>
      <c r="L353" s="17"/>
      <c r="M353" s="171" t="s">
        <v>16</v>
      </c>
      <c r="N353" s="18"/>
      <c r="O353" s="74" t="s">
        <v>30</v>
      </c>
    </row>
    <row r="354" spans="1:15">
      <c r="A354" s="168"/>
      <c r="B354" s="164"/>
      <c r="C354" s="19"/>
      <c r="D354" s="164"/>
      <c r="E354" s="164"/>
      <c r="F354" s="164"/>
      <c r="G354" s="21"/>
      <c r="H354" s="168"/>
      <c r="I354" s="164"/>
      <c r="J354" s="170"/>
      <c r="K354" s="21"/>
      <c r="L354" s="17"/>
      <c r="M354" s="172"/>
      <c r="N354" s="18"/>
      <c r="O354" s="75">
        <f>F355</f>
        <v>6600</v>
      </c>
    </row>
    <row r="355" spans="1:15">
      <c r="A355" s="173" t="s">
        <v>17</v>
      </c>
      <c r="B355" s="174"/>
      <c r="C355" s="127"/>
      <c r="D355" s="93">
        <v>600</v>
      </c>
      <c r="E355" s="93">
        <v>11</v>
      </c>
      <c r="F355" s="94">
        <f>D355*E355</f>
        <v>6600</v>
      </c>
      <c r="G355" s="25"/>
      <c r="H355" s="22" t="s">
        <v>38</v>
      </c>
      <c r="I355" s="95">
        <v>0.03</v>
      </c>
      <c r="J355" s="27">
        <f>F362*3%</f>
        <v>198</v>
      </c>
      <c r="K355" s="25"/>
      <c r="L355" s="28"/>
      <c r="M355" s="78" t="str">
        <f>M11</f>
        <v>31 มกราคม 2569</v>
      </c>
      <c r="N355" s="79"/>
      <c r="O355" s="74" t="s">
        <v>31</v>
      </c>
    </row>
    <row r="356" spans="1:15">
      <c r="A356" s="175"/>
      <c r="B356" s="176"/>
      <c r="C356" s="80"/>
      <c r="D356" s="106"/>
      <c r="E356" s="94"/>
      <c r="F356" s="97"/>
      <c r="G356" s="36"/>
      <c r="H356" s="33"/>
      <c r="I356" s="93"/>
      <c r="J356" s="38"/>
      <c r="K356" s="39"/>
      <c r="L356" s="40"/>
      <c r="M356" s="17"/>
      <c r="N356" s="17"/>
      <c r="O356" s="85">
        <f>(((O354/30)/8)/60)</f>
        <v>0.45833333333333331</v>
      </c>
    </row>
    <row r="357" spans="1:15">
      <c r="A357" s="182"/>
      <c r="B357" s="183"/>
      <c r="C357" s="100"/>
      <c r="D357" s="100"/>
      <c r="E357" s="129"/>
      <c r="F357" s="129"/>
      <c r="G357" s="36"/>
      <c r="H357" s="157"/>
      <c r="I357" s="42"/>
      <c r="J357" s="43"/>
      <c r="K357" s="39"/>
      <c r="L357" s="40"/>
      <c r="M357" s="171" t="s">
        <v>23</v>
      </c>
      <c r="N357" s="18"/>
    </row>
    <row r="358" spans="1:15">
      <c r="A358" s="182"/>
      <c r="B358" s="183"/>
      <c r="C358" s="80"/>
      <c r="D358" s="80"/>
      <c r="E358" s="129"/>
      <c r="F358" s="129"/>
      <c r="G358" s="36"/>
      <c r="H358" s="41"/>
      <c r="I358" s="42"/>
      <c r="J358" s="43"/>
      <c r="K358" s="39"/>
      <c r="L358" s="40"/>
      <c r="M358" s="172"/>
      <c r="N358" s="18"/>
      <c r="O358" s="87"/>
    </row>
    <row r="359" spans="1:15" ht="16.5">
      <c r="A359" s="182"/>
      <c r="B359" s="183"/>
      <c r="C359" s="47"/>
      <c r="D359" s="12"/>
      <c r="E359" s="129"/>
      <c r="F359" s="129"/>
      <c r="G359" s="36"/>
      <c r="H359" s="41"/>
      <c r="I359" s="42"/>
      <c r="J359" s="43"/>
      <c r="K359" s="39"/>
      <c r="L359" s="40"/>
      <c r="M359" s="161">
        <f>F362-J362</f>
        <v>6402</v>
      </c>
      <c r="N359" s="49"/>
    </row>
    <row r="360" spans="1:15" ht="16.5">
      <c r="A360" s="182"/>
      <c r="B360" s="183"/>
      <c r="C360" s="47"/>
      <c r="D360" s="12"/>
      <c r="E360" s="129"/>
      <c r="F360" s="129"/>
      <c r="G360" s="36"/>
      <c r="H360" s="41"/>
      <c r="I360" s="42"/>
      <c r="J360" s="43"/>
      <c r="K360" s="39"/>
      <c r="L360" s="40"/>
      <c r="M360" s="162"/>
      <c r="N360" s="49"/>
    </row>
    <row r="361" spans="1:15">
      <c r="A361" s="182"/>
      <c r="B361" s="183"/>
      <c r="C361" s="52"/>
      <c r="D361" s="52"/>
      <c r="E361" s="129"/>
      <c r="F361" s="129"/>
      <c r="G361" s="53"/>
      <c r="H361" s="54"/>
      <c r="I361" s="51"/>
      <c r="J361" s="55"/>
      <c r="K361" s="56"/>
      <c r="L361" s="57"/>
      <c r="M361" s="7"/>
      <c r="N361" s="7"/>
    </row>
    <row r="362" spans="1:15">
      <c r="A362" s="58"/>
      <c r="B362" s="59"/>
      <c r="C362" s="60"/>
      <c r="D362" s="163" t="s">
        <v>24</v>
      </c>
      <c r="E362" s="130"/>
      <c r="F362" s="165">
        <f>SUM(F355:F361)</f>
        <v>6600</v>
      </c>
      <c r="G362" s="62"/>
      <c r="H362" s="167" t="s">
        <v>25</v>
      </c>
      <c r="I362" s="163"/>
      <c r="J362" s="165">
        <f>SUM(J355:J361)</f>
        <v>198</v>
      </c>
      <c r="K362" s="62"/>
      <c r="L362" s="57"/>
      <c r="M362" s="63"/>
      <c r="N362" s="64"/>
    </row>
    <row r="363" spans="1:15">
      <c r="A363" s="65"/>
      <c r="B363" s="66"/>
      <c r="C363" s="66"/>
      <c r="D363" s="164"/>
      <c r="E363" s="131"/>
      <c r="F363" s="166"/>
      <c r="G363" s="68"/>
      <c r="H363" s="168"/>
      <c r="I363" s="164"/>
      <c r="J363" s="166"/>
      <c r="K363" s="68"/>
      <c r="L363" s="57"/>
      <c r="M363" s="46" t="s">
        <v>26</v>
      </c>
      <c r="N363" s="64"/>
    </row>
    <row r="364" spans="1:15">
      <c r="A364" s="177" t="s">
        <v>0</v>
      </c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</row>
    <row r="365" spans="1:15">
      <c r="A365" s="178" t="s">
        <v>1</v>
      </c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</row>
    <row r="366" spans="1:15">
      <c r="A366" s="178" t="s">
        <v>2</v>
      </c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</row>
    <row r="367" spans="1: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5" ht="14.45" customHeight="1">
      <c r="A368" s="179" t="s">
        <v>3</v>
      </c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O368" s="158"/>
    </row>
    <row r="369" spans="1:15" ht="15.6" customHeight="1">
      <c r="A369" s="3"/>
      <c r="B369" s="3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3"/>
    </row>
    <row r="370" spans="1:15">
      <c r="A370" s="5" t="s">
        <v>4</v>
      </c>
      <c r="B370" s="176"/>
      <c r="C370" s="176"/>
      <c r="D370" s="5" t="s">
        <v>5</v>
      </c>
      <c r="E370" s="180" t="s">
        <v>79</v>
      </c>
      <c r="F370" s="180"/>
      <c r="G370" s="7"/>
      <c r="H370" s="5" t="s">
        <v>7</v>
      </c>
      <c r="I370" s="6" t="s">
        <v>65</v>
      </c>
      <c r="J370" s="181" t="s">
        <v>9</v>
      </c>
      <c r="K370" s="181"/>
      <c r="L370" s="181"/>
      <c r="M370" s="138" t="s">
        <v>80</v>
      </c>
      <c r="O370" s="72">
        <v>20</v>
      </c>
    </row>
    <row r="371" spans="1:15">
      <c r="A371" s="10"/>
      <c r="B371" s="10"/>
      <c r="C371" s="11"/>
      <c r="D371" s="5"/>
      <c r="E371" s="5"/>
      <c r="F371" s="12"/>
      <c r="G371" s="12"/>
      <c r="H371" s="5"/>
      <c r="I371" s="11"/>
      <c r="J371" s="13"/>
      <c r="K371" s="13"/>
      <c r="L371" s="13"/>
      <c r="M371" s="12"/>
      <c r="O371" s="73"/>
    </row>
    <row r="372" spans="1:15">
      <c r="A372" s="167" t="s">
        <v>12</v>
      </c>
      <c r="B372" s="163"/>
      <c r="C372" s="14"/>
      <c r="D372" s="163" t="s">
        <v>35</v>
      </c>
      <c r="E372" s="163" t="s">
        <v>36</v>
      </c>
      <c r="F372" s="163" t="s">
        <v>14</v>
      </c>
      <c r="G372" s="16"/>
      <c r="H372" s="167" t="s">
        <v>15</v>
      </c>
      <c r="I372" s="163" t="s">
        <v>13</v>
      </c>
      <c r="J372" s="169" t="s">
        <v>14</v>
      </c>
      <c r="K372" s="16"/>
      <c r="L372" s="17"/>
      <c r="M372" s="171" t="s">
        <v>16</v>
      </c>
      <c r="O372" s="74" t="s">
        <v>30</v>
      </c>
    </row>
    <row r="373" spans="1:15">
      <c r="A373" s="168"/>
      <c r="B373" s="164"/>
      <c r="C373" s="19"/>
      <c r="D373" s="164"/>
      <c r="E373" s="164"/>
      <c r="F373" s="164"/>
      <c r="G373" s="21"/>
      <c r="H373" s="168"/>
      <c r="I373" s="164"/>
      <c r="J373" s="170"/>
      <c r="K373" s="21"/>
      <c r="L373" s="17"/>
      <c r="M373" s="172"/>
      <c r="O373" s="75">
        <f>F374</f>
        <v>1600</v>
      </c>
    </row>
    <row r="374" spans="1:15">
      <c r="A374" s="173" t="s">
        <v>17</v>
      </c>
      <c r="B374" s="174"/>
      <c r="C374" s="23"/>
      <c r="D374" s="141">
        <v>400</v>
      </c>
      <c r="E374" s="141">
        <v>4</v>
      </c>
      <c r="F374" s="94">
        <f>D374*E374</f>
        <v>1600</v>
      </c>
      <c r="G374" s="25"/>
      <c r="H374" s="22" t="s">
        <v>38</v>
      </c>
      <c r="I374" s="95">
        <v>0.03</v>
      </c>
      <c r="J374" s="27">
        <f>F381*3%</f>
        <v>57</v>
      </c>
      <c r="K374" s="25"/>
      <c r="L374" s="28"/>
      <c r="M374" s="78" t="str">
        <f>M355</f>
        <v>31 มกราคม 2569</v>
      </c>
      <c r="O374" s="74" t="s">
        <v>31</v>
      </c>
    </row>
    <row r="375" spans="1:15">
      <c r="A375" s="175" t="s">
        <v>81</v>
      </c>
      <c r="B375" s="176"/>
      <c r="C375" s="105"/>
      <c r="D375" s="152"/>
      <c r="E375" s="152"/>
      <c r="F375" s="108">
        <v>300</v>
      </c>
      <c r="G375" s="36"/>
      <c r="H375" s="139"/>
      <c r="I375" s="148"/>
      <c r="J375" s="149"/>
      <c r="K375" s="39"/>
      <c r="L375" s="40"/>
      <c r="M375" s="17"/>
      <c r="O375" s="85">
        <f>(((O373/30)/8)/60)</f>
        <v>0.11111111111111112</v>
      </c>
    </row>
    <row r="376" spans="1:15">
      <c r="A376" s="159"/>
      <c r="B376" s="160"/>
      <c r="C376" s="96"/>
      <c r="D376" s="106"/>
      <c r="E376" s="106"/>
      <c r="F376" s="108"/>
      <c r="G376" s="36"/>
      <c r="H376" s="41"/>
      <c r="I376" s="42"/>
      <c r="J376" s="43"/>
      <c r="K376" s="39"/>
      <c r="L376" s="40"/>
      <c r="M376" s="171" t="s">
        <v>23</v>
      </c>
    </row>
    <row r="377" spans="1:15">
      <c r="A377" s="159"/>
      <c r="B377" s="160"/>
      <c r="C377" s="80"/>
      <c r="D377" s="80"/>
      <c r="E377" s="80"/>
      <c r="F377" s="113"/>
      <c r="G377" s="36"/>
      <c r="H377" s="41"/>
      <c r="I377" s="42"/>
      <c r="J377" s="43"/>
      <c r="K377" s="39"/>
      <c r="L377" s="40"/>
      <c r="M377" s="172"/>
      <c r="O377" s="87"/>
    </row>
    <row r="378" spans="1:15">
      <c r="A378" s="159"/>
      <c r="B378" s="160"/>
      <c r="C378" s="47"/>
      <c r="D378" s="12" t="s">
        <v>11</v>
      </c>
      <c r="E378" s="12"/>
      <c r="F378" s="115"/>
      <c r="G378" s="36"/>
      <c r="H378" s="41"/>
      <c r="I378" s="42"/>
      <c r="J378" s="43"/>
      <c r="K378" s="39"/>
      <c r="L378" s="40"/>
      <c r="M378" s="161">
        <f>F381-J381</f>
        <v>1843</v>
      </c>
    </row>
    <row r="379" spans="1:15">
      <c r="A379" s="159"/>
      <c r="B379" s="160"/>
      <c r="C379" s="47"/>
      <c r="D379" s="12"/>
      <c r="E379" s="12"/>
      <c r="F379" s="115"/>
      <c r="G379" s="36"/>
      <c r="H379" s="41"/>
      <c r="I379" s="42"/>
      <c r="J379" s="43"/>
      <c r="K379" s="39"/>
      <c r="L379" s="40"/>
      <c r="M379" s="162"/>
    </row>
    <row r="380" spans="1:15">
      <c r="A380" s="159"/>
      <c r="B380" s="160"/>
      <c r="C380" s="52"/>
      <c r="D380" s="52"/>
      <c r="E380" s="52"/>
      <c r="F380" s="116"/>
      <c r="G380" s="53"/>
      <c r="H380" s="54"/>
      <c r="I380" s="51"/>
      <c r="J380" s="55"/>
      <c r="K380" s="56"/>
      <c r="L380" s="57"/>
      <c r="M380" s="7"/>
    </row>
    <row r="381" spans="1:15">
      <c r="A381" s="58"/>
      <c r="B381" s="59"/>
      <c r="C381" s="60"/>
      <c r="D381" s="163" t="s">
        <v>24</v>
      </c>
      <c r="E381" s="117"/>
      <c r="F381" s="165">
        <f>SUM(F374:F380)</f>
        <v>1900</v>
      </c>
      <c r="G381" s="62"/>
      <c r="H381" s="167" t="s">
        <v>25</v>
      </c>
      <c r="I381" s="163"/>
      <c r="J381" s="165">
        <f>SUM(J374:J380)</f>
        <v>57</v>
      </c>
      <c r="K381" s="62"/>
      <c r="L381" s="57"/>
      <c r="M381" s="118"/>
    </row>
    <row r="382" spans="1:15">
      <c r="A382" s="65"/>
      <c r="B382" s="66"/>
      <c r="C382" s="66"/>
      <c r="D382" s="164"/>
      <c r="E382" s="119"/>
      <c r="F382" s="166"/>
      <c r="G382" s="68"/>
      <c r="H382" s="168"/>
      <c r="I382" s="164"/>
      <c r="J382" s="166"/>
      <c r="K382" s="68"/>
      <c r="L382" s="57"/>
      <c r="M382" s="46" t="s">
        <v>26</v>
      </c>
    </row>
    <row r="383" spans="1:15">
      <c r="A383" s="177" t="s">
        <v>0</v>
      </c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</row>
    <row r="384" spans="1:15">
      <c r="A384" s="178" t="s">
        <v>1</v>
      </c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</row>
    <row r="385" spans="1:15">
      <c r="A385" s="178" t="s">
        <v>2</v>
      </c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</row>
    <row r="386" spans="1: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5" ht="16.5" customHeight="1">
      <c r="A387" s="179" t="s">
        <v>3</v>
      </c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O387" s="158"/>
    </row>
    <row r="388" spans="1:15" ht="16.5" customHeight="1">
      <c r="A388" s="3"/>
      <c r="B388" s="3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3"/>
    </row>
    <row r="389" spans="1:15">
      <c r="A389" s="5" t="s">
        <v>4</v>
      </c>
      <c r="B389" s="176"/>
      <c r="C389" s="176"/>
      <c r="D389" s="5" t="s">
        <v>5</v>
      </c>
      <c r="E389" s="180" t="s">
        <v>82</v>
      </c>
      <c r="F389" s="180"/>
      <c r="G389" s="7"/>
      <c r="H389" s="5" t="s">
        <v>7</v>
      </c>
      <c r="I389" s="6" t="s">
        <v>65</v>
      </c>
      <c r="J389" s="181" t="s">
        <v>9</v>
      </c>
      <c r="K389" s="181"/>
      <c r="L389" s="181"/>
      <c r="M389" s="138" t="s">
        <v>83</v>
      </c>
      <c r="O389" s="72">
        <v>20</v>
      </c>
    </row>
    <row r="390" spans="1:15">
      <c r="A390" s="10"/>
      <c r="B390" s="10"/>
      <c r="C390" s="11"/>
      <c r="D390" s="5"/>
      <c r="E390" s="5"/>
      <c r="F390" s="12"/>
      <c r="G390" s="12"/>
      <c r="H390" s="5"/>
      <c r="I390" s="11"/>
      <c r="J390" s="13"/>
      <c r="K390" s="13"/>
      <c r="L390" s="13"/>
      <c r="M390" s="12"/>
      <c r="O390" s="73"/>
    </row>
    <row r="391" spans="1:15">
      <c r="A391" s="167" t="s">
        <v>12</v>
      </c>
      <c r="B391" s="163"/>
      <c r="C391" s="14"/>
      <c r="D391" s="163" t="s">
        <v>35</v>
      </c>
      <c r="E391" s="163" t="s">
        <v>36</v>
      </c>
      <c r="F391" s="163" t="s">
        <v>14</v>
      </c>
      <c r="G391" s="16"/>
      <c r="H391" s="167" t="s">
        <v>15</v>
      </c>
      <c r="I391" s="163" t="s">
        <v>13</v>
      </c>
      <c r="J391" s="169" t="s">
        <v>14</v>
      </c>
      <c r="K391" s="16"/>
      <c r="L391" s="17"/>
      <c r="M391" s="171" t="s">
        <v>16</v>
      </c>
      <c r="O391" s="74" t="s">
        <v>30</v>
      </c>
    </row>
    <row r="392" spans="1:15">
      <c r="A392" s="168"/>
      <c r="B392" s="164"/>
      <c r="C392" s="19"/>
      <c r="D392" s="164"/>
      <c r="E392" s="164"/>
      <c r="F392" s="164"/>
      <c r="G392" s="21"/>
      <c r="H392" s="168"/>
      <c r="I392" s="164"/>
      <c r="J392" s="170"/>
      <c r="K392" s="21"/>
      <c r="L392" s="17"/>
      <c r="M392" s="172"/>
      <c r="O392" s="75">
        <f>F393</f>
        <v>2400</v>
      </c>
    </row>
    <row r="393" spans="1:15">
      <c r="A393" s="173" t="s">
        <v>17</v>
      </c>
      <c r="B393" s="174"/>
      <c r="C393" s="23"/>
      <c r="D393" s="141">
        <v>600</v>
      </c>
      <c r="E393" s="141">
        <v>4</v>
      </c>
      <c r="F393" s="94">
        <f>D393*E393</f>
        <v>2400</v>
      </c>
      <c r="G393" s="25"/>
      <c r="H393" s="22" t="s">
        <v>38</v>
      </c>
      <c r="I393" s="95">
        <v>0.03</v>
      </c>
      <c r="J393" s="27">
        <f>F400*3%</f>
        <v>72</v>
      </c>
      <c r="K393" s="25"/>
      <c r="L393" s="28"/>
      <c r="M393" s="78" t="str">
        <f>M374</f>
        <v>31 มกราคม 2569</v>
      </c>
      <c r="O393" s="74" t="s">
        <v>31</v>
      </c>
    </row>
    <row r="394" spans="1:15">
      <c r="A394" s="175"/>
      <c r="B394" s="176"/>
      <c r="C394" s="105"/>
      <c r="D394" s="152"/>
      <c r="E394" s="152"/>
      <c r="F394" s="108"/>
      <c r="G394" s="36"/>
      <c r="H394" s="139"/>
      <c r="I394" s="148"/>
      <c r="J394" s="149"/>
      <c r="K394" s="39"/>
      <c r="L394" s="40"/>
      <c r="M394" s="17"/>
      <c r="O394" s="85">
        <f>(((O392/30)/8)/60)</f>
        <v>0.16666666666666666</v>
      </c>
    </row>
    <row r="395" spans="1:15">
      <c r="A395" s="159"/>
      <c r="B395" s="160"/>
      <c r="C395" s="96"/>
      <c r="D395" s="106"/>
      <c r="E395" s="106"/>
      <c r="F395" s="108"/>
      <c r="G395" s="36"/>
      <c r="H395" s="41"/>
      <c r="I395" s="42"/>
      <c r="J395" s="43"/>
      <c r="K395" s="39"/>
      <c r="L395" s="40"/>
      <c r="M395" s="171" t="s">
        <v>23</v>
      </c>
    </row>
    <row r="396" spans="1:15">
      <c r="A396" s="159"/>
      <c r="B396" s="160"/>
      <c r="C396" s="80"/>
      <c r="D396" s="80"/>
      <c r="E396" s="80"/>
      <c r="F396" s="113"/>
      <c r="G396" s="36"/>
      <c r="H396" s="41"/>
      <c r="I396" s="42"/>
      <c r="J396" s="43"/>
      <c r="K396" s="39"/>
      <c r="L396" s="40"/>
      <c r="M396" s="172"/>
      <c r="O396" s="87"/>
    </row>
    <row r="397" spans="1:15">
      <c r="A397" s="159"/>
      <c r="B397" s="160"/>
      <c r="C397" s="47"/>
      <c r="D397" s="12" t="s">
        <v>11</v>
      </c>
      <c r="E397" s="12"/>
      <c r="F397" s="115"/>
      <c r="G397" s="36"/>
      <c r="H397" s="41"/>
      <c r="I397" s="42"/>
      <c r="J397" s="43"/>
      <c r="K397" s="39"/>
      <c r="L397" s="40"/>
      <c r="M397" s="161">
        <f>F400-J400</f>
        <v>2328</v>
      </c>
    </row>
    <row r="398" spans="1:15">
      <c r="A398" s="159"/>
      <c r="B398" s="160"/>
      <c r="C398" s="47"/>
      <c r="D398" s="12"/>
      <c r="E398" s="12"/>
      <c r="F398" s="115"/>
      <c r="G398" s="36"/>
      <c r="H398" s="41"/>
      <c r="I398" s="42"/>
      <c r="J398" s="43"/>
      <c r="K398" s="39"/>
      <c r="L398" s="40"/>
      <c r="M398" s="162"/>
    </row>
    <row r="399" spans="1:15">
      <c r="A399" s="159"/>
      <c r="B399" s="160"/>
      <c r="C399" s="52"/>
      <c r="D399" s="52"/>
      <c r="E399" s="52"/>
      <c r="F399" s="116"/>
      <c r="G399" s="53"/>
      <c r="H399" s="54"/>
      <c r="I399" s="51"/>
      <c r="J399" s="55"/>
      <c r="K399" s="56"/>
      <c r="L399" s="57"/>
      <c r="M399" s="7"/>
    </row>
    <row r="400" spans="1:15">
      <c r="A400" s="58"/>
      <c r="B400" s="59"/>
      <c r="C400" s="60"/>
      <c r="D400" s="163" t="s">
        <v>24</v>
      </c>
      <c r="E400" s="117"/>
      <c r="F400" s="165">
        <f>SUM(F393:F399)</f>
        <v>2400</v>
      </c>
      <c r="G400" s="62"/>
      <c r="H400" s="167" t="s">
        <v>25</v>
      </c>
      <c r="I400" s="163"/>
      <c r="J400" s="165">
        <f>SUM(J393:J399)</f>
        <v>72</v>
      </c>
      <c r="K400" s="62"/>
      <c r="L400" s="57"/>
      <c r="M400" s="118"/>
    </row>
    <row r="401" spans="1:13">
      <c r="A401" s="65"/>
      <c r="B401" s="66"/>
      <c r="C401" s="66"/>
      <c r="D401" s="164"/>
      <c r="E401" s="119"/>
      <c r="F401" s="166"/>
      <c r="G401" s="68"/>
      <c r="H401" s="168"/>
      <c r="I401" s="164"/>
      <c r="J401" s="166"/>
      <c r="K401" s="68"/>
      <c r="L401" s="57"/>
      <c r="M401" s="46" t="s">
        <v>26</v>
      </c>
    </row>
  </sheetData>
  <mergeCells count="560">
    <mergeCell ref="A1:M1"/>
    <mergeCell ref="A2:M2"/>
    <mergeCell ref="A3:M3"/>
    <mergeCell ref="A5:M5"/>
    <mergeCell ref="B7:C7"/>
    <mergeCell ref="E7:F7"/>
    <mergeCell ref="J7:L7"/>
    <mergeCell ref="M9:M10"/>
    <mergeCell ref="A11:B11"/>
    <mergeCell ref="A12:B12"/>
    <mergeCell ref="C12:D12"/>
    <mergeCell ref="A13:B13"/>
    <mergeCell ref="C13:D13"/>
    <mergeCell ref="M13:M14"/>
    <mergeCell ref="A14:B14"/>
    <mergeCell ref="A9:B10"/>
    <mergeCell ref="D9:D10"/>
    <mergeCell ref="F9:G10"/>
    <mergeCell ref="H9:H10"/>
    <mergeCell ref="I9:I10"/>
    <mergeCell ref="J9:J10"/>
    <mergeCell ref="A22:M22"/>
    <mergeCell ref="A23:M23"/>
    <mergeCell ref="A25:M25"/>
    <mergeCell ref="B27:C27"/>
    <mergeCell ref="E27:F27"/>
    <mergeCell ref="J27:L27"/>
    <mergeCell ref="M15:M16"/>
    <mergeCell ref="D18:D19"/>
    <mergeCell ref="F18:F19"/>
    <mergeCell ref="H18:I19"/>
    <mergeCell ref="J18:J19"/>
    <mergeCell ref="A21:M21"/>
    <mergeCell ref="M29:M30"/>
    <mergeCell ref="A31:B31"/>
    <mergeCell ref="A32:B32"/>
    <mergeCell ref="A33:B33"/>
    <mergeCell ref="M33:M34"/>
    <mergeCell ref="A34:B34"/>
    <mergeCell ref="A29:B30"/>
    <mergeCell ref="D29:D30"/>
    <mergeCell ref="E29:F30"/>
    <mergeCell ref="H29:H30"/>
    <mergeCell ref="I29:I30"/>
    <mergeCell ref="J29:J30"/>
    <mergeCell ref="A41:M41"/>
    <mergeCell ref="A42:M42"/>
    <mergeCell ref="A44:M44"/>
    <mergeCell ref="B46:C46"/>
    <mergeCell ref="E46:F46"/>
    <mergeCell ref="J46:L46"/>
    <mergeCell ref="M35:M36"/>
    <mergeCell ref="D38:D39"/>
    <mergeCell ref="F38:F39"/>
    <mergeCell ref="H38:I39"/>
    <mergeCell ref="J38:J39"/>
    <mergeCell ref="A40:M40"/>
    <mergeCell ref="J48:J49"/>
    <mergeCell ref="M48:M49"/>
    <mergeCell ref="A51:B51"/>
    <mergeCell ref="A52:B52"/>
    <mergeCell ref="C52:D52"/>
    <mergeCell ref="M52:M53"/>
    <mergeCell ref="A53:B53"/>
    <mergeCell ref="A48:B49"/>
    <mergeCell ref="D48:D49"/>
    <mergeCell ref="E48:E49"/>
    <mergeCell ref="F48:F49"/>
    <mergeCell ref="H48:H49"/>
    <mergeCell ref="I48:I49"/>
    <mergeCell ref="A59:M59"/>
    <mergeCell ref="A60:M60"/>
    <mergeCell ref="A61:M61"/>
    <mergeCell ref="A63:M63"/>
    <mergeCell ref="B65:C65"/>
    <mergeCell ref="E65:F65"/>
    <mergeCell ref="J65:L65"/>
    <mergeCell ref="A54:B54"/>
    <mergeCell ref="M54:M55"/>
    <mergeCell ref="A55:B55"/>
    <mergeCell ref="A56:B56"/>
    <mergeCell ref="D57:D58"/>
    <mergeCell ref="F57:F58"/>
    <mergeCell ref="H57:I58"/>
    <mergeCell ref="J57:J58"/>
    <mergeCell ref="J67:J68"/>
    <mergeCell ref="M67:M68"/>
    <mergeCell ref="A69:B69"/>
    <mergeCell ref="A70:B70"/>
    <mergeCell ref="A71:B71"/>
    <mergeCell ref="M71:M72"/>
    <mergeCell ref="A67:B68"/>
    <mergeCell ref="D67:D68"/>
    <mergeCell ref="E67:E68"/>
    <mergeCell ref="F67:F68"/>
    <mergeCell ref="H67:H68"/>
    <mergeCell ref="I67:I68"/>
    <mergeCell ref="A79:M79"/>
    <mergeCell ref="A80:M80"/>
    <mergeCell ref="A82:M82"/>
    <mergeCell ref="B84:C84"/>
    <mergeCell ref="E84:F84"/>
    <mergeCell ref="J84:L84"/>
    <mergeCell ref="M73:M74"/>
    <mergeCell ref="D76:D77"/>
    <mergeCell ref="F76:F77"/>
    <mergeCell ref="H76:I77"/>
    <mergeCell ref="J76:J77"/>
    <mergeCell ref="A78:M78"/>
    <mergeCell ref="D95:D96"/>
    <mergeCell ref="E95:F96"/>
    <mergeCell ref="H95:I96"/>
    <mergeCell ref="J95:J96"/>
    <mergeCell ref="A97:M97"/>
    <mergeCell ref="A98:M98"/>
    <mergeCell ref="M86:M87"/>
    <mergeCell ref="A88:B88"/>
    <mergeCell ref="A89:B89"/>
    <mergeCell ref="A90:B90"/>
    <mergeCell ref="M90:M91"/>
    <mergeCell ref="M92:M93"/>
    <mergeCell ref="A86:B87"/>
    <mergeCell ref="D86:D87"/>
    <mergeCell ref="E86:F87"/>
    <mergeCell ref="H86:H87"/>
    <mergeCell ref="I86:I87"/>
    <mergeCell ref="J86:J87"/>
    <mergeCell ref="I105:I106"/>
    <mergeCell ref="J105:J106"/>
    <mergeCell ref="M105:M106"/>
    <mergeCell ref="A107:B107"/>
    <mergeCell ref="A108:B108"/>
    <mergeCell ref="A109:B109"/>
    <mergeCell ref="M109:M110"/>
    <mergeCell ref="A110:B110"/>
    <mergeCell ref="A99:M99"/>
    <mergeCell ref="A101:M101"/>
    <mergeCell ref="B103:C103"/>
    <mergeCell ref="E103:F103"/>
    <mergeCell ref="J103:L103"/>
    <mergeCell ref="A105:B106"/>
    <mergeCell ref="D105:D106"/>
    <mergeCell ref="E105:E106"/>
    <mergeCell ref="F105:G106"/>
    <mergeCell ref="H105:H106"/>
    <mergeCell ref="A116:M116"/>
    <mergeCell ref="A117:M117"/>
    <mergeCell ref="A118:M118"/>
    <mergeCell ref="A120:M120"/>
    <mergeCell ref="B122:C122"/>
    <mergeCell ref="E122:F122"/>
    <mergeCell ref="J122:L122"/>
    <mergeCell ref="A111:B111"/>
    <mergeCell ref="M111:M112"/>
    <mergeCell ref="A112:B112"/>
    <mergeCell ref="A113:B113"/>
    <mergeCell ref="D114:D115"/>
    <mergeCell ref="F114:F115"/>
    <mergeCell ref="H114:I115"/>
    <mergeCell ref="J114:J115"/>
    <mergeCell ref="M124:M125"/>
    <mergeCell ref="A126:B126"/>
    <mergeCell ref="A127:B127"/>
    <mergeCell ref="A128:B128"/>
    <mergeCell ref="M128:M129"/>
    <mergeCell ref="A129:B129"/>
    <mergeCell ref="A124:B125"/>
    <mergeCell ref="D124:D125"/>
    <mergeCell ref="E124:F125"/>
    <mergeCell ref="H124:H125"/>
    <mergeCell ref="I124:I125"/>
    <mergeCell ref="J124:J125"/>
    <mergeCell ref="A135:M135"/>
    <mergeCell ref="A136:M136"/>
    <mergeCell ref="A137:M137"/>
    <mergeCell ref="A139:M139"/>
    <mergeCell ref="E141:F141"/>
    <mergeCell ref="J141:L141"/>
    <mergeCell ref="A130:B130"/>
    <mergeCell ref="M130:M131"/>
    <mergeCell ref="A131:B131"/>
    <mergeCell ref="A132:B132"/>
    <mergeCell ref="D133:D134"/>
    <mergeCell ref="F133:F134"/>
    <mergeCell ref="H133:I134"/>
    <mergeCell ref="J133:J134"/>
    <mergeCell ref="A149:B149"/>
    <mergeCell ref="M149:M150"/>
    <mergeCell ref="A150:B150"/>
    <mergeCell ref="A151:B151"/>
    <mergeCell ref="D152:D153"/>
    <mergeCell ref="F152:F153"/>
    <mergeCell ref="H152:I153"/>
    <mergeCell ref="J152:J153"/>
    <mergeCell ref="M143:M144"/>
    <mergeCell ref="A145:B145"/>
    <mergeCell ref="A146:B146"/>
    <mergeCell ref="A147:B147"/>
    <mergeCell ref="M147:M148"/>
    <mergeCell ref="A148:B148"/>
    <mergeCell ref="A143:B144"/>
    <mergeCell ref="D143:D144"/>
    <mergeCell ref="E143:F144"/>
    <mergeCell ref="H143:H144"/>
    <mergeCell ref="I143:I144"/>
    <mergeCell ref="J143:J144"/>
    <mergeCell ref="A154:M154"/>
    <mergeCell ref="A155:M155"/>
    <mergeCell ref="A156:M156"/>
    <mergeCell ref="A158:M158"/>
    <mergeCell ref="J160:L160"/>
    <mergeCell ref="A162:B163"/>
    <mergeCell ref="D162:D163"/>
    <mergeCell ref="E162:E163"/>
    <mergeCell ref="F162:F163"/>
    <mergeCell ref="H162:H163"/>
    <mergeCell ref="A168:B168"/>
    <mergeCell ref="M168:M169"/>
    <mergeCell ref="A169:B169"/>
    <mergeCell ref="A170:B170"/>
    <mergeCell ref="D171:D172"/>
    <mergeCell ref="F171:F172"/>
    <mergeCell ref="H171:I172"/>
    <mergeCell ref="J171:J172"/>
    <mergeCell ref="I162:I163"/>
    <mergeCell ref="J162:J163"/>
    <mergeCell ref="M162:M163"/>
    <mergeCell ref="A164:B164"/>
    <mergeCell ref="A165:B165"/>
    <mergeCell ref="A166:B166"/>
    <mergeCell ref="M166:M167"/>
    <mergeCell ref="A167:B167"/>
    <mergeCell ref="J182:J183"/>
    <mergeCell ref="M182:M183"/>
    <mergeCell ref="A184:B184"/>
    <mergeCell ref="A185:B185"/>
    <mergeCell ref="A186:B186"/>
    <mergeCell ref="M186:M187"/>
    <mergeCell ref="A187:B187"/>
    <mergeCell ref="A174:M174"/>
    <mergeCell ref="A175:M175"/>
    <mergeCell ref="A176:M176"/>
    <mergeCell ref="A178:M178"/>
    <mergeCell ref="J180:L180"/>
    <mergeCell ref="A182:B183"/>
    <mergeCell ref="D182:D183"/>
    <mergeCell ref="E182:F183"/>
    <mergeCell ref="H182:H183"/>
    <mergeCell ref="I182:I183"/>
    <mergeCell ref="A193:M193"/>
    <mergeCell ref="A194:M194"/>
    <mergeCell ref="A195:M195"/>
    <mergeCell ref="A197:M197"/>
    <mergeCell ref="B199:C199"/>
    <mergeCell ref="E199:F199"/>
    <mergeCell ref="J199:L199"/>
    <mergeCell ref="A188:B188"/>
    <mergeCell ref="M188:M189"/>
    <mergeCell ref="A189:B189"/>
    <mergeCell ref="A190:B190"/>
    <mergeCell ref="D191:D192"/>
    <mergeCell ref="F191:F192"/>
    <mergeCell ref="H191:I192"/>
    <mergeCell ref="J191:J192"/>
    <mergeCell ref="M201:M202"/>
    <mergeCell ref="A203:B203"/>
    <mergeCell ref="A204:B204"/>
    <mergeCell ref="A205:B205"/>
    <mergeCell ref="M205:M206"/>
    <mergeCell ref="A206:B206"/>
    <mergeCell ref="A201:B202"/>
    <mergeCell ref="D201:D202"/>
    <mergeCell ref="E201:F202"/>
    <mergeCell ref="H201:H202"/>
    <mergeCell ref="I201:I202"/>
    <mergeCell ref="J201:J202"/>
    <mergeCell ref="A212:M212"/>
    <mergeCell ref="A213:M213"/>
    <mergeCell ref="A214:M214"/>
    <mergeCell ref="A216:M216"/>
    <mergeCell ref="E218:F218"/>
    <mergeCell ref="J218:L218"/>
    <mergeCell ref="A207:B207"/>
    <mergeCell ref="M207:M208"/>
    <mergeCell ref="A208:B208"/>
    <mergeCell ref="A209:B209"/>
    <mergeCell ref="D210:D211"/>
    <mergeCell ref="F210:F211"/>
    <mergeCell ref="H210:I211"/>
    <mergeCell ref="J210:J211"/>
    <mergeCell ref="J220:J221"/>
    <mergeCell ref="M220:M221"/>
    <mergeCell ref="A222:B222"/>
    <mergeCell ref="A223:B223"/>
    <mergeCell ref="A224:B224"/>
    <mergeCell ref="M224:M225"/>
    <mergeCell ref="A225:B225"/>
    <mergeCell ref="A220:B221"/>
    <mergeCell ref="D220:D221"/>
    <mergeCell ref="E220:E221"/>
    <mergeCell ref="F220:F221"/>
    <mergeCell ref="H220:H221"/>
    <mergeCell ref="I220:I221"/>
    <mergeCell ref="B231:N231"/>
    <mergeCell ref="B232:N232"/>
    <mergeCell ref="B233:N233"/>
    <mergeCell ref="B235:N235"/>
    <mergeCell ref="B237:C237"/>
    <mergeCell ref="E237:F237"/>
    <mergeCell ref="J237:L237"/>
    <mergeCell ref="A226:B226"/>
    <mergeCell ref="M226:M227"/>
    <mergeCell ref="A227:B227"/>
    <mergeCell ref="A228:B228"/>
    <mergeCell ref="D229:D230"/>
    <mergeCell ref="F229:F230"/>
    <mergeCell ref="H229:I230"/>
    <mergeCell ref="J229:J230"/>
    <mergeCell ref="J239:J240"/>
    <mergeCell ref="M239:M240"/>
    <mergeCell ref="A241:B241"/>
    <mergeCell ref="A242:B242"/>
    <mergeCell ref="A243:B243"/>
    <mergeCell ref="M243:M244"/>
    <mergeCell ref="A244:B244"/>
    <mergeCell ref="A239:B240"/>
    <mergeCell ref="D239:D240"/>
    <mergeCell ref="E239:E240"/>
    <mergeCell ref="F239:F240"/>
    <mergeCell ref="H239:H240"/>
    <mergeCell ref="I239:I240"/>
    <mergeCell ref="A250:M250"/>
    <mergeCell ref="A251:M251"/>
    <mergeCell ref="A252:M252"/>
    <mergeCell ref="A254:M254"/>
    <mergeCell ref="B256:C256"/>
    <mergeCell ref="E256:F256"/>
    <mergeCell ref="J256:L256"/>
    <mergeCell ref="A245:B245"/>
    <mergeCell ref="M245:M246"/>
    <mergeCell ref="A246:B246"/>
    <mergeCell ref="A247:B247"/>
    <mergeCell ref="D248:D249"/>
    <mergeCell ref="F248:F249"/>
    <mergeCell ref="H248:I249"/>
    <mergeCell ref="J248:J249"/>
    <mergeCell ref="J258:J259"/>
    <mergeCell ref="M258:M259"/>
    <mergeCell ref="A260:B260"/>
    <mergeCell ref="A261:B261"/>
    <mergeCell ref="A262:B262"/>
    <mergeCell ref="M262:M263"/>
    <mergeCell ref="A263:B263"/>
    <mergeCell ref="A258:B259"/>
    <mergeCell ref="D258:D259"/>
    <mergeCell ref="E258:E259"/>
    <mergeCell ref="F258:F259"/>
    <mergeCell ref="H258:H259"/>
    <mergeCell ref="I258:I259"/>
    <mergeCell ref="A269:M269"/>
    <mergeCell ref="A270:M270"/>
    <mergeCell ref="A271:M271"/>
    <mergeCell ref="A273:M273"/>
    <mergeCell ref="B275:C275"/>
    <mergeCell ref="E275:F275"/>
    <mergeCell ref="J275:L275"/>
    <mergeCell ref="A264:B264"/>
    <mergeCell ref="M264:M265"/>
    <mergeCell ref="A265:B265"/>
    <mergeCell ref="A266:B266"/>
    <mergeCell ref="D267:D268"/>
    <mergeCell ref="F267:F268"/>
    <mergeCell ref="H267:I268"/>
    <mergeCell ref="J267:J268"/>
    <mergeCell ref="M277:M278"/>
    <mergeCell ref="A279:B279"/>
    <mergeCell ref="A280:B280"/>
    <mergeCell ref="A281:B281"/>
    <mergeCell ref="H281:I281"/>
    <mergeCell ref="M281:M282"/>
    <mergeCell ref="A282:B282"/>
    <mergeCell ref="A277:B278"/>
    <mergeCell ref="D277:D278"/>
    <mergeCell ref="E277:F278"/>
    <mergeCell ref="H277:H278"/>
    <mergeCell ref="I277:I278"/>
    <mergeCell ref="J277:J278"/>
    <mergeCell ref="A288:M288"/>
    <mergeCell ref="A289:M289"/>
    <mergeCell ref="A290:M290"/>
    <mergeCell ref="A292:M292"/>
    <mergeCell ref="B294:C294"/>
    <mergeCell ref="E294:F294"/>
    <mergeCell ref="J294:L294"/>
    <mergeCell ref="A283:B283"/>
    <mergeCell ref="M283:M284"/>
    <mergeCell ref="A284:B284"/>
    <mergeCell ref="A285:B285"/>
    <mergeCell ref="D286:D287"/>
    <mergeCell ref="F286:F287"/>
    <mergeCell ref="H286:I287"/>
    <mergeCell ref="J286:J287"/>
    <mergeCell ref="M296:M297"/>
    <mergeCell ref="A298:B298"/>
    <mergeCell ref="A299:B299"/>
    <mergeCell ref="A300:B300"/>
    <mergeCell ref="M300:M301"/>
    <mergeCell ref="A301:B301"/>
    <mergeCell ref="A296:B297"/>
    <mergeCell ref="D296:D297"/>
    <mergeCell ref="E296:F297"/>
    <mergeCell ref="H296:H297"/>
    <mergeCell ref="I296:I297"/>
    <mergeCell ref="J296:J297"/>
    <mergeCell ref="A307:M307"/>
    <mergeCell ref="A308:M308"/>
    <mergeCell ref="A309:M309"/>
    <mergeCell ref="A311:M311"/>
    <mergeCell ref="B313:C313"/>
    <mergeCell ref="E313:F313"/>
    <mergeCell ref="J313:L313"/>
    <mergeCell ref="A302:B302"/>
    <mergeCell ref="M302:M303"/>
    <mergeCell ref="A303:B303"/>
    <mergeCell ref="A304:B304"/>
    <mergeCell ref="D305:D306"/>
    <mergeCell ref="F305:F306"/>
    <mergeCell ref="H305:I306"/>
    <mergeCell ref="J305:J306"/>
    <mergeCell ref="J315:J316"/>
    <mergeCell ref="M315:M316"/>
    <mergeCell ref="A317:B317"/>
    <mergeCell ref="A318:B318"/>
    <mergeCell ref="A319:B319"/>
    <mergeCell ref="M319:M320"/>
    <mergeCell ref="A320:B320"/>
    <mergeCell ref="A315:B316"/>
    <mergeCell ref="D315:D316"/>
    <mergeCell ref="E315:E316"/>
    <mergeCell ref="F315:F316"/>
    <mergeCell ref="H315:H316"/>
    <mergeCell ref="I315:I316"/>
    <mergeCell ref="A326:M326"/>
    <mergeCell ref="A327:M327"/>
    <mergeCell ref="A328:M328"/>
    <mergeCell ref="A330:M330"/>
    <mergeCell ref="B332:C332"/>
    <mergeCell ref="E332:F332"/>
    <mergeCell ref="J332:L332"/>
    <mergeCell ref="A321:B321"/>
    <mergeCell ref="M321:M322"/>
    <mergeCell ref="A322:B322"/>
    <mergeCell ref="A323:B323"/>
    <mergeCell ref="D324:D325"/>
    <mergeCell ref="F324:F325"/>
    <mergeCell ref="H324:I325"/>
    <mergeCell ref="J324:J325"/>
    <mergeCell ref="A340:B340"/>
    <mergeCell ref="M340:M341"/>
    <mergeCell ref="A341:B341"/>
    <mergeCell ref="A342:B342"/>
    <mergeCell ref="D343:D344"/>
    <mergeCell ref="F343:F344"/>
    <mergeCell ref="H343:I344"/>
    <mergeCell ref="J343:J344"/>
    <mergeCell ref="J334:J335"/>
    <mergeCell ref="M334:M335"/>
    <mergeCell ref="A336:B336"/>
    <mergeCell ref="A337:B337"/>
    <mergeCell ref="A338:B338"/>
    <mergeCell ref="M338:M339"/>
    <mergeCell ref="A339:B339"/>
    <mergeCell ref="A334:B335"/>
    <mergeCell ref="D334:D335"/>
    <mergeCell ref="E334:E335"/>
    <mergeCell ref="F334:F335"/>
    <mergeCell ref="H334:H335"/>
    <mergeCell ref="I334:I335"/>
    <mergeCell ref="I353:I354"/>
    <mergeCell ref="J353:J354"/>
    <mergeCell ref="M353:M354"/>
    <mergeCell ref="A355:B355"/>
    <mergeCell ref="A356:B356"/>
    <mergeCell ref="A357:B357"/>
    <mergeCell ref="M357:M358"/>
    <mergeCell ref="A358:B358"/>
    <mergeCell ref="A345:M345"/>
    <mergeCell ref="A346:M346"/>
    <mergeCell ref="A347:M347"/>
    <mergeCell ref="A349:M349"/>
    <mergeCell ref="J351:L351"/>
    <mergeCell ref="A353:B354"/>
    <mergeCell ref="D353:D354"/>
    <mergeCell ref="E353:E354"/>
    <mergeCell ref="F353:F354"/>
    <mergeCell ref="H353:H354"/>
    <mergeCell ref="A364:M364"/>
    <mergeCell ref="A365:M365"/>
    <mergeCell ref="A366:M366"/>
    <mergeCell ref="A368:M368"/>
    <mergeCell ref="B370:C370"/>
    <mergeCell ref="E370:F370"/>
    <mergeCell ref="J370:L370"/>
    <mergeCell ref="A359:B359"/>
    <mergeCell ref="M359:M360"/>
    <mergeCell ref="A360:B360"/>
    <mergeCell ref="A361:B361"/>
    <mergeCell ref="D362:D363"/>
    <mergeCell ref="F362:F363"/>
    <mergeCell ref="H362:I363"/>
    <mergeCell ref="J362:J363"/>
    <mergeCell ref="J372:J373"/>
    <mergeCell ref="M372:M373"/>
    <mergeCell ref="A374:B374"/>
    <mergeCell ref="A375:B375"/>
    <mergeCell ref="A376:B376"/>
    <mergeCell ref="M376:M377"/>
    <mergeCell ref="A377:B377"/>
    <mergeCell ref="A372:B373"/>
    <mergeCell ref="D372:D373"/>
    <mergeCell ref="E372:E373"/>
    <mergeCell ref="F372:F373"/>
    <mergeCell ref="H372:H373"/>
    <mergeCell ref="I372:I373"/>
    <mergeCell ref="A383:M383"/>
    <mergeCell ref="A384:M384"/>
    <mergeCell ref="A385:M385"/>
    <mergeCell ref="A387:M387"/>
    <mergeCell ref="B389:C389"/>
    <mergeCell ref="E389:F389"/>
    <mergeCell ref="J389:L389"/>
    <mergeCell ref="A378:B378"/>
    <mergeCell ref="M378:M379"/>
    <mergeCell ref="A379:B379"/>
    <mergeCell ref="A380:B380"/>
    <mergeCell ref="D381:D382"/>
    <mergeCell ref="F381:F382"/>
    <mergeCell ref="H381:I382"/>
    <mergeCell ref="J381:J382"/>
    <mergeCell ref="A397:B397"/>
    <mergeCell ref="M397:M398"/>
    <mergeCell ref="A398:B398"/>
    <mergeCell ref="A399:B399"/>
    <mergeCell ref="D400:D401"/>
    <mergeCell ref="F400:F401"/>
    <mergeCell ref="H400:I401"/>
    <mergeCell ref="J400:J401"/>
    <mergeCell ref="J391:J392"/>
    <mergeCell ref="M391:M392"/>
    <mergeCell ref="A393:B393"/>
    <mergeCell ref="A394:B394"/>
    <mergeCell ref="A395:B395"/>
    <mergeCell ref="M395:M396"/>
    <mergeCell ref="A396:B396"/>
    <mergeCell ref="A391:B392"/>
    <mergeCell ref="D391:D392"/>
    <mergeCell ref="E391:E392"/>
    <mergeCell ref="F391:F392"/>
    <mergeCell ref="H391:H392"/>
    <mergeCell ref="I391:I3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</dc:creator>
  <cp:lastModifiedBy>555555555 55555555</cp:lastModifiedBy>
  <dcterms:created xsi:type="dcterms:W3CDTF">2015-06-05T18:17:20Z</dcterms:created>
  <dcterms:modified xsi:type="dcterms:W3CDTF">2026-01-27T03:23:18Z</dcterms:modified>
</cp:coreProperties>
</file>