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infinitebrain-backoffice\docs\"/>
    </mc:Choice>
  </mc:AlternateContent>
  <xr:revisionPtr revIDLastSave="0" documentId="13_ncr:1_{33481FFF-3DD0-488C-A5A0-3D4B4E0F12FB}" xr6:coauthVersionLast="47" xr6:coauthVersionMax="47" xr10:uidLastSave="{00000000-0000-0000-0000-000000000000}"/>
  <bookViews>
    <workbookView xWindow="-120" yWindow="-120" windowWidth="29040" windowHeight="15720" xr2:uid="{EC9975CF-5538-44CF-9076-DB59A6490355}"/>
  </bookViews>
  <sheets>
    <sheet name="อินฟินิท เบรน" sheetId="1" r:id="rId1"/>
    <sheet name="เมต้า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7" i="1" l="1"/>
  <c r="Q58" i="1"/>
  <c r="P52" i="1" l="1"/>
  <c r="P53" i="1"/>
  <c r="P54" i="1"/>
  <c r="P55" i="1"/>
  <c r="P56" i="1"/>
  <c r="Q59" i="1"/>
  <c r="P60" i="1"/>
  <c r="Q60" i="1" s="1"/>
  <c r="P61" i="1"/>
  <c r="Q61" i="1" s="1"/>
  <c r="P62" i="1"/>
  <c r="Q62" i="1" s="1"/>
  <c r="P63" i="1"/>
  <c r="Q63" i="1"/>
  <c r="P64" i="1"/>
  <c r="Q64" i="1"/>
  <c r="P65" i="1"/>
  <c r="Q65" i="1" s="1"/>
  <c r="J66" i="1"/>
  <c r="P47" i="1"/>
  <c r="P50" i="1"/>
  <c r="P51" i="1"/>
  <c r="D37" i="2"/>
  <c r="C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B6" i="2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C39" i="2" s="1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l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E37" i="2"/>
  <c r="E39" i="2" s="1"/>
  <c r="B66" i="1" l="1"/>
  <c r="O66" i="1"/>
  <c r="N66" i="1"/>
  <c r="M66" i="1"/>
  <c r="L66" i="1"/>
  <c r="K66" i="1"/>
  <c r="Q44" i="1"/>
  <c r="P46" i="1"/>
  <c r="P43" i="1"/>
  <c r="Q41" i="1"/>
  <c r="Q40" i="1"/>
  <c r="J67" i="1" l="1"/>
  <c r="P31" i="1"/>
  <c r="P30" i="1"/>
  <c r="P29" i="1"/>
  <c r="P28" i="1"/>
  <c r="P27" i="1"/>
  <c r="P23" i="1"/>
  <c r="P21" i="1"/>
  <c r="P20" i="1"/>
  <c r="P19" i="1"/>
  <c r="P18" i="1"/>
  <c r="P16" i="1"/>
  <c r="P12" i="1"/>
  <c r="P10" i="1"/>
  <c r="P9" i="1"/>
  <c r="P8" i="1"/>
  <c r="P7" i="1"/>
  <c r="P6" i="1"/>
  <c r="P66" i="1" l="1"/>
  <c r="Q38" i="1"/>
  <c r="Q39" i="1"/>
  <c r="Q33" i="1"/>
  <c r="Q34" i="1"/>
  <c r="Q36" i="1"/>
  <c r="Q37" i="1"/>
  <c r="Q25" i="1"/>
  <c r="Q26" i="1"/>
  <c r="Q24" i="1"/>
  <c r="Q22" i="1"/>
  <c r="Q17" i="1"/>
  <c r="Q14" i="1"/>
  <c r="Q13" i="1"/>
  <c r="Q15" i="1"/>
  <c r="Q11" i="1"/>
  <c r="C66" i="1"/>
  <c r="L67" i="1" l="1"/>
  <c r="Q66" i="1"/>
  <c r="D66" i="1" l="1"/>
</calcChain>
</file>

<file path=xl/sharedStrings.xml><?xml version="1.0" encoding="utf-8"?>
<sst xmlns="http://schemas.openxmlformats.org/spreadsheetml/2006/main" count="278" uniqueCount="180">
  <si>
    <t>รายการเดินบัญชี บริษัท อินฟินิท จำกัด</t>
  </si>
  <si>
    <t>ประจำปี 2569</t>
  </si>
  <si>
    <t>วันที่</t>
  </si>
  <si>
    <t>บัญชีเข้า</t>
  </si>
  <si>
    <t>บัญชีออก</t>
  </si>
  <si>
    <t>รายการ</t>
  </si>
  <si>
    <t>ได้รับจาก</t>
  </si>
  <si>
    <t>เลขที่</t>
  </si>
  <si>
    <t>อายเลเวล</t>
  </si>
  <si>
    <t>ส่วนกลาง</t>
  </si>
  <si>
    <t>ธรรมเนียม</t>
  </si>
  <si>
    <t>ค่าคอร์สเรียนภาษาจีน</t>
  </si>
  <si>
    <t>Prime</t>
  </si>
  <si>
    <t>012601001</t>
  </si>
  <si>
    <t>รับคืนค่าซื้อของรางวัลทำโปรโมชั่น</t>
  </si>
  <si>
    <t>คุณมานะ อินทราภรณ์</t>
  </si>
  <si>
    <t>EL20260101</t>
  </si>
  <si>
    <t>ค่าคอร์สเรียนอังกฤษ</t>
  </si>
  <si>
    <t>Rene</t>
  </si>
  <si>
    <t>002601001</t>
  </si>
  <si>
    <t>ค่าคอร์สเรียนคณิตศาสตร์ไพรเวท</t>
  </si>
  <si>
    <t>Men</t>
  </si>
  <si>
    <t>002601002</t>
  </si>
  <si>
    <t>ค่าคอร์สเรียนคณิตศาสตร์+อังกฤษ</t>
  </si>
  <si>
    <t>Winwin + Wila</t>
  </si>
  <si>
    <t>002601003</t>
  </si>
  <si>
    <t>รับเงินค่าจ้างพนักงานไอที</t>
  </si>
  <si>
    <t>บริษัท เมต้า โนเลจ จำกัด</t>
  </si>
  <si>
    <t>EL20260103</t>
  </si>
  <si>
    <t>รับเงินจากกรรมการ</t>
  </si>
  <si>
    <t>คุณลภัสรดา อินทราภรณ์</t>
  </si>
  <si>
    <t>EL20260102</t>
  </si>
  <si>
    <t>โอนคืนค่า Zoom</t>
  </si>
  <si>
    <t>คุณพิษณุ ศรีทัศน์</t>
  </si>
  <si>
    <t>EL20260105</t>
  </si>
  <si>
    <t>ค่าคอร์สเรียนคณิตศาสตร์</t>
  </si>
  <si>
    <t>Akin</t>
  </si>
  <si>
    <t>002601004</t>
  </si>
  <si>
    <t>Kanplu</t>
  </si>
  <si>
    <t>002601005</t>
  </si>
  <si>
    <t>EL20260104</t>
  </si>
  <si>
    <t>Amy</t>
  </si>
  <si>
    <t>002601006</t>
  </si>
  <si>
    <t>Jedi.C</t>
  </si>
  <si>
    <t>012601002</t>
  </si>
  <si>
    <t>Imem</t>
  </si>
  <si>
    <t>002601007</t>
  </si>
  <si>
    <t>Pincare</t>
  </si>
  <si>
    <t>002601008</t>
  </si>
  <si>
    <t>Light</t>
  </si>
  <si>
    <t>002601009</t>
  </si>
  <si>
    <t>002601010</t>
  </si>
  <si>
    <t>รวมเข้า</t>
  </si>
  <si>
    <t>รวมออก</t>
  </si>
  <si>
    <t>บ.โกลเบิล วิชชั่น เอ็ดดูเคชั่น จก.</t>
  </si>
  <si>
    <t>จ่ายค่าส่วนแบ่งอายเลเวล</t>
  </si>
  <si>
    <t>ใบเสร็จเข้า</t>
  </si>
  <si>
    <t>ใบเสร็จออก</t>
  </si>
  <si>
    <t>บริษัท ลิสซิ่งกสิกรไทย จำกัด</t>
  </si>
  <si>
    <t>ค่างวดรถยนต์</t>
  </si>
  <si>
    <t>IF20260101</t>
  </si>
  <si>
    <t>ค่าบริการ Zoom รายเดือน</t>
  </si>
  <si>
    <t>คุณอรอินทรา เต็งประวัติ</t>
  </si>
  <si>
    <t>เบิกจ่ายประจำสัปดาห์ ครั้งที่1</t>
  </si>
  <si>
    <t>บริษัท เอเซียเสริมกิจลิสซิ่ง จำกัด</t>
  </si>
  <si>
    <t>IF20260102</t>
  </si>
  <si>
    <t>ค่าเช่าพื้นที่</t>
  </si>
  <si>
    <t>EL20260106</t>
  </si>
  <si>
    <t>กรมสรรพกร</t>
  </si>
  <si>
    <t>ภ.ง.ด.1,3,53</t>
  </si>
  <si>
    <t>เบิกจ่ายประจำสัปดาห์ ครั้งที่2</t>
  </si>
  <si>
    <t>IF20260103</t>
  </si>
  <si>
    <t>สำนักงานประกันสังคม</t>
  </si>
  <si>
    <t>เงินสมทบกองทุนเงินทดแทนประจำปี</t>
  </si>
  <si>
    <t xml:space="preserve"> </t>
  </si>
  <si>
    <t>IF20260104</t>
  </si>
  <si>
    <t>ค่าบริการ 3BB VDSL Plus รายเดือน</t>
  </si>
  <si>
    <t>บริษัท ทริปเปิ้ลที บรอดแบนด์ จำกัด(มหาชน)</t>
  </si>
  <si>
    <t>ค่าโทรศัพท์ อายเลเวล 098 509 8554</t>
  </si>
  <si>
    <t>ค่าโทรศัพท์ อินฟินิท เบรน 061 320 8668</t>
  </si>
  <si>
    <t>บริษัท แอดวานซ์ ไวร์เลส เน็ทเวอร์ค จำกัด</t>
  </si>
  <si>
    <t>EL20260107</t>
  </si>
  <si>
    <t>EL20260108</t>
  </si>
  <si>
    <t>เบิกจ่ายประจำสัปดาห์ ครั้งที่ 3</t>
  </si>
  <si>
    <t>EL20260109</t>
  </si>
  <si>
    <t>ภ.พ.30</t>
  </si>
  <si>
    <t>กรมสรรพากร</t>
  </si>
  <si>
    <t>EL20260110</t>
  </si>
  <si>
    <t>EL20260111</t>
  </si>
  <si>
    <t>EL20260112</t>
  </si>
  <si>
    <t>บริษัท ทรัสต์เพื่อการลงทุนฯ อัลไลน์</t>
  </si>
  <si>
    <t>ค่าโฆษณารับสมัครงาน 3 เดือน 1 ตำแหน่ง</t>
  </si>
  <si>
    <t>บริษัท ทิงค์เน็ต จำกัด (สำนักงานใหญ่)</t>
  </si>
  <si>
    <t>IF20260105</t>
  </si>
  <si>
    <t>ภาษี</t>
  </si>
  <si>
    <t>EL20260113</t>
  </si>
  <si>
    <t>ค่าบริการทางบัญชี</t>
  </si>
  <si>
    <t xml:space="preserve">คุณดนัย การพิธี </t>
  </si>
  <si>
    <t>ยอดเงิน</t>
  </si>
  <si>
    <t>บริษัท เมต้า โนวเลจ จำกัด</t>
  </si>
  <si>
    <t>ยอดเดือนที่แล้ว</t>
  </si>
  <si>
    <t>บาท</t>
  </si>
  <si>
    <t xml:space="preserve">วันที่ </t>
  </si>
  <si>
    <t>ยอดในบัญชี</t>
  </si>
  <si>
    <t>รายรับ</t>
  </si>
  <si>
    <t>รายจ่าย</t>
  </si>
  <si>
    <t>รวมต่อวัน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</si>
  <si>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</si>
  <si>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</si>
  <si>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</si>
  <si>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</si>
  <si>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</si>
  <si>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</si>
  <si>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</si>
  <si>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</si>
  <si>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</si>
  <si>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</si>
  <si>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</si>
  <si>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</si>
  <si>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</si>
  <si>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</si>
  <si>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</si>
  <si>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</si>
  <si>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</si>
  <si>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</si>
  <si>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</si>
  <si>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</si>
  <si>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</si>
  <si>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</si>
  <si>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</si>
  <si>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</si>
  <si>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</si>
  <si>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</si>
  <si>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</si>
  <si>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</si>
  <si>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</si>
  <si>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</si>
  <si>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</si>
  <si>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สรุป</t>
  </si>
  <si>
    <t>เงินในบัญชี</t>
  </si>
  <si>
    <t>กำไร / ขาดทุน</t>
  </si>
  <si>
    <t>เดือน มกราคม 2569</t>
  </si>
  <si>
    <t>รับค่าบริการและค่าทำบัญชี</t>
  </si>
  <si>
    <t>เดือน</t>
  </si>
  <si>
    <t>มกราคม</t>
  </si>
  <si>
    <t>Lookmee</t>
  </si>
  <si>
    <t>002601011</t>
  </si>
  <si>
    <t>002601012</t>
  </si>
  <si>
    <t>Meay</t>
  </si>
  <si>
    <t>002601013</t>
  </si>
  <si>
    <t>Meena.M</t>
  </si>
  <si>
    <t>002601014</t>
  </si>
  <si>
    <t>Tita</t>
  </si>
  <si>
    <t>Inwa</t>
  </si>
  <si>
    <t>Jaden</t>
  </si>
  <si>
    <t>002601015</t>
  </si>
  <si>
    <t>ค่าคอร์สเรียนวิทยาศาสตร์</t>
  </si>
  <si>
    <t>Light.3</t>
  </si>
  <si>
    <t>032601001</t>
  </si>
  <si>
    <t>002601016</t>
  </si>
  <si>
    <t>002601017</t>
  </si>
  <si>
    <t>002601018</t>
  </si>
  <si>
    <t>เงินประกันสังคม,เงินสมทบ ประจำเดือน</t>
  </si>
  <si>
    <t>Man1</t>
  </si>
  <si>
    <t>012601003</t>
  </si>
  <si>
    <t>Tat</t>
  </si>
  <si>
    <t>Pan</t>
  </si>
  <si>
    <t>Bhupa</t>
  </si>
  <si>
    <t>ค่าภาษีรถยนต์ BYD</t>
  </si>
  <si>
    <t>ค่าส่วนแบ่งอายเลเวล</t>
  </si>
  <si>
    <t>EL20260114</t>
  </si>
  <si>
    <t>ชำระโดย</t>
  </si>
  <si>
    <t>ยอดย่อย</t>
  </si>
  <si>
    <t>Credit.C</t>
  </si>
  <si>
    <t>DEBIT.C</t>
  </si>
  <si>
    <t xml:space="preserve">Google Cloud </t>
  </si>
  <si>
    <t xml:space="preserve">Wired Mouse </t>
  </si>
  <si>
    <t xml:space="preserve">ค่าคอร์สเรียนคณิตศาสตร์ </t>
  </si>
  <si>
    <t xml:space="preserve">ค่าคอร์สเรียนภาษาจีน,หนังสือ </t>
  </si>
  <si>
    <t xml:space="preserve">ค่าคอร์สเรียนคณิตศาสตร์ไพรเวท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</si>
</sst>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#,##0.00_ ;[Red]\-\ #,##0.00_ ;"/>
  </numFmts>
  <fonts count="22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9"/>
      <color theme="9" tint="-0.249977111117893"/>
      <name val="Bahnschrift Light SemiCondensed"/>
      <family val="2"/>
    </font>
    <font>
      <sz val="11"/>
      <color theme="1"/>
      <name val="Bahnschrift Light SemiCondensed"/>
      <family val="2"/>
    </font>
    <font>
      <sz val="8"/>
      <name val="Calibri"/>
      <family val="2"/>
      <charset val="222"/>
      <scheme val="minor"/>
    </font>
    <font>
      <sz val="9"/>
      <name val="Bahnschrift Light SemiCondensed"/>
      <family val="2"/>
    </font>
    <font>
      <sz val="9"/>
      <color theme="1"/>
      <name val="Bahnschrift Light SemiCondensed"/>
      <family val="2"/>
    </font>
    <font>
      <sz val="9"/>
      <color rgb="FFFF0000"/>
      <name val="Bahnschrift Light SemiCondensed"/>
      <family val="2"/>
    </font>
    <font>
      <sz val="11"/>
      <color theme="1"/>
      <name val="Leelawadee"/>
      <family val="2"/>
    </font>
    <font>
      <b/>
      <sz val="9"/>
      <color theme="1"/>
      <name val="Bahnschrift Light SemiCondensed"/>
      <family val="2"/>
    </font>
    <font>
      <sz val="9"/>
      <color theme="9" tint="-0.249977111117893"/>
      <name val="Bahnschrift SemiLight SemiConde"/>
      <family val="2"/>
    </font>
    <font>
      <b/>
      <sz val="11"/>
      <color theme="5"/>
      <name val="Bahnschrift SemiLight SemiConde"/>
      <family val="2"/>
    </font>
    <font>
      <b/>
      <sz val="10"/>
      <color theme="1"/>
      <name val="Bahnschrift SemiLight SemiConde"/>
      <family val="2"/>
    </font>
    <font>
      <sz val="10"/>
      <color theme="1"/>
      <name val="Bahnschrift SemiLight SemiConde"/>
      <family val="2"/>
    </font>
    <font>
      <b/>
      <sz val="10"/>
      <name val="Bahnschrift SemiLight SemiConde"/>
      <family val="2"/>
    </font>
    <font>
      <sz val="10"/>
      <color theme="2" tint="-0.249977111117893"/>
      <name val="Bahnschrift SemiLight SemiConde"/>
      <family val="2"/>
    </font>
    <font>
      <sz val="10"/>
      <color rgb="FFFF0000"/>
      <name val="Bahnschrift SemiLight SemiConde"/>
      <family val="2"/>
    </font>
    <font>
      <sz val="10"/>
      <name val="Bahnschrift SemiLight SemiConde"/>
      <family val="2"/>
    </font>
    <font>
      <sz val="10"/>
      <color rgb="FFC00000"/>
      <name val="Bahnschrift SemiLight SemiConde"/>
      <family val="2"/>
    </font>
    <font>
      <sz val="10"/>
      <color theme="1"/>
      <name val="Calibri"/>
      <family val="2"/>
      <charset val="222"/>
      <scheme val="minor"/>
    </font>
    <font>
      <b/>
      <sz val="10"/>
      <color rgb="FFFF0000"/>
      <name val="Bahnschrift SemiLight SemiConde"/>
      <family val="2"/>
    </font>
    <font>
      <sz val="11"/>
      <color theme="1"/>
      <name val="Bahnschrift SemiLight SemiConde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51">
    <border>
      <left/>
      <right/>
      <top/>
      <bottom/>
      <diagonal/>
    </border>
    <border>
      <left/>
      <right/>
      <top style="double">
        <color rgb="FF92D050"/>
      </top>
      <bottom/>
      <diagonal/>
    </border>
    <border>
      <left style="thin">
        <color rgb="FF92D050"/>
      </left>
      <right/>
      <top style="double">
        <color rgb="FF92D050"/>
      </top>
      <bottom/>
      <diagonal/>
    </border>
    <border>
      <left style="thin">
        <color rgb="FF92D050"/>
      </left>
      <right style="double">
        <color rgb="FF92D050"/>
      </right>
      <top style="double">
        <color rgb="FF92D050"/>
      </top>
      <bottom/>
      <diagonal/>
    </border>
    <border>
      <left/>
      <right/>
      <top/>
      <bottom style="double">
        <color rgb="FF92D050"/>
      </bottom>
      <diagonal/>
    </border>
    <border>
      <left style="thin">
        <color rgb="FF92D050"/>
      </left>
      <right/>
      <top/>
      <bottom style="double">
        <color rgb="FF92D050"/>
      </bottom>
      <diagonal/>
    </border>
    <border>
      <left style="thin">
        <color rgb="FF92D050"/>
      </left>
      <right style="double">
        <color rgb="FF92D050"/>
      </right>
      <top/>
      <bottom style="double">
        <color rgb="FF92D050"/>
      </bottom>
      <diagonal/>
    </border>
    <border>
      <left style="thin">
        <color rgb="FF92D050"/>
      </left>
      <right/>
      <top/>
      <bottom/>
      <diagonal/>
    </border>
    <border>
      <left/>
      <right style="thin">
        <color rgb="FF92D050"/>
      </right>
      <top/>
      <bottom/>
      <diagonal/>
    </border>
    <border>
      <left style="thin">
        <color rgb="FF92D050"/>
      </left>
      <right style="double">
        <color rgb="FF92D050"/>
      </right>
      <top/>
      <bottom/>
      <diagonal/>
    </border>
    <border>
      <left style="thin">
        <color rgb="FF92D050"/>
      </left>
      <right/>
      <top/>
      <bottom style="thin">
        <color rgb="FF92D050"/>
      </bottom>
      <diagonal/>
    </border>
    <border>
      <left/>
      <right/>
      <top/>
      <bottom style="thin">
        <color rgb="FF92D050"/>
      </bottom>
      <diagonal/>
    </border>
    <border>
      <left style="double">
        <color rgb="FF92D050"/>
      </left>
      <right/>
      <top style="thin">
        <color rgb="FF92D050"/>
      </top>
      <bottom/>
      <diagonal/>
    </border>
    <border>
      <left/>
      <right/>
      <top style="thin">
        <color rgb="FF92D050"/>
      </top>
      <bottom/>
      <diagonal/>
    </border>
    <border>
      <left style="thin">
        <color rgb="FF92D050"/>
      </left>
      <right/>
      <top style="thin">
        <color rgb="FF92D050"/>
      </top>
      <bottom/>
      <diagonal/>
    </border>
    <border>
      <left style="thin">
        <color rgb="FF92D050"/>
      </left>
      <right style="thin">
        <color rgb="FF92D050"/>
      </right>
      <top/>
      <bottom style="double">
        <color rgb="FF92D050"/>
      </bottom>
      <diagonal/>
    </border>
    <border>
      <left style="double">
        <color rgb="FF92D050"/>
      </left>
      <right/>
      <top style="double">
        <color rgb="FF92D050"/>
      </top>
      <bottom/>
      <diagonal/>
    </border>
    <border>
      <left style="double">
        <color rgb="FF92D050"/>
      </left>
      <right/>
      <top/>
      <bottom style="double">
        <color rgb="FF92D050"/>
      </bottom>
      <diagonal/>
    </border>
    <border>
      <left style="double">
        <color rgb="FF92D050"/>
      </left>
      <right/>
      <top/>
      <bottom/>
      <diagonal/>
    </border>
    <border>
      <left style="thin">
        <color rgb="FF92D050"/>
      </left>
      <right style="thin">
        <color rgb="FF92D050"/>
      </right>
      <top style="double">
        <color rgb="FF92D050"/>
      </top>
      <bottom/>
      <diagonal/>
    </border>
    <border>
      <left style="thin">
        <color rgb="FF92D050"/>
      </left>
      <right style="thin">
        <color rgb="FF92D050"/>
      </right>
      <top/>
      <bottom/>
      <diagonal/>
    </border>
    <border>
      <left/>
      <right style="thin">
        <color rgb="FF92D050"/>
      </right>
      <top style="thin">
        <color rgb="FF92D050"/>
      </top>
      <bottom/>
      <diagonal/>
    </border>
    <border>
      <left/>
      <right style="thin">
        <color rgb="FF92D050"/>
      </right>
      <top/>
      <bottom style="double">
        <color rgb="FF92D050"/>
      </bottom>
      <diagonal/>
    </border>
    <border>
      <left style="thin">
        <color rgb="FF92D050"/>
      </left>
      <right style="double">
        <color rgb="FF92D050"/>
      </right>
      <top style="thin">
        <color rgb="FF92D050"/>
      </top>
      <bottom/>
      <diagonal/>
    </border>
    <border>
      <left/>
      <right style="thin">
        <color rgb="FF92D050"/>
      </right>
      <top style="double">
        <color rgb="FF92D050"/>
      </top>
      <bottom/>
      <diagonal/>
    </border>
    <border>
      <left/>
      <right style="thin">
        <color rgb="FF92D050"/>
      </right>
      <top/>
      <bottom style="thin">
        <color rgb="FF92D050"/>
      </bottom>
      <diagonal/>
    </border>
    <border>
      <left style="thin">
        <color rgb="FF92D050"/>
      </left>
      <right style="thin">
        <color rgb="FF92D050"/>
      </right>
      <top style="thin">
        <color rgb="FF92D050"/>
      </top>
      <bottom/>
      <diagonal/>
    </border>
    <border>
      <left style="double">
        <color theme="5"/>
      </left>
      <right/>
      <top style="double">
        <color theme="5"/>
      </top>
      <bottom/>
      <diagonal/>
    </border>
    <border>
      <left/>
      <right/>
      <top style="double">
        <color theme="5"/>
      </top>
      <bottom/>
      <diagonal/>
    </border>
    <border>
      <left/>
      <right style="double">
        <color theme="5"/>
      </right>
      <top style="double">
        <color theme="5"/>
      </top>
      <bottom/>
      <diagonal/>
    </border>
    <border>
      <left style="double">
        <color theme="5"/>
      </left>
      <right/>
      <top/>
      <bottom style="double">
        <color theme="5"/>
      </bottom>
      <diagonal/>
    </border>
    <border>
      <left/>
      <right/>
      <top/>
      <bottom style="double">
        <color theme="5"/>
      </bottom>
      <diagonal/>
    </border>
    <border>
      <left/>
      <right style="double">
        <color theme="5"/>
      </right>
      <top/>
      <bottom style="double">
        <color theme="5"/>
      </bottom>
      <diagonal/>
    </border>
    <border>
      <left style="double">
        <color theme="5"/>
      </left>
      <right style="thin">
        <color theme="5"/>
      </right>
      <top style="double">
        <color theme="5"/>
      </top>
      <bottom style="double">
        <color theme="5"/>
      </bottom>
      <diagonal/>
    </border>
    <border>
      <left style="thin">
        <color theme="5"/>
      </left>
      <right/>
      <top style="double">
        <color theme="5"/>
      </top>
      <bottom style="double">
        <color theme="5"/>
      </bottom>
      <diagonal/>
    </border>
    <border>
      <left/>
      <right style="thin">
        <color theme="5"/>
      </right>
      <top style="double">
        <color theme="5"/>
      </top>
      <bottom style="double">
        <color theme="5"/>
      </bottom>
      <diagonal/>
    </border>
    <border>
      <left/>
      <right style="double">
        <color theme="5"/>
      </right>
      <top style="double">
        <color theme="5"/>
      </top>
      <bottom style="double">
        <color theme="5"/>
      </bottom>
      <diagonal/>
    </border>
    <border>
      <left style="double">
        <color theme="5"/>
      </left>
      <right style="double">
        <color theme="5"/>
      </right>
      <top style="double">
        <color theme="5"/>
      </top>
      <bottom style="double">
        <color theme="5"/>
      </bottom>
      <diagonal/>
    </border>
    <border>
      <left style="thin">
        <color theme="5"/>
      </left>
      <right style="thin">
        <color theme="5"/>
      </right>
      <top/>
      <bottom style="thin">
        <color theme="5"/>
      </bottom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5"/>
      </left>
      <right style="thin">
        <color theme="5"/>
      </right>
      <top style="thin">
        <color theme="5"/>
      </top>
      <bottom/>
      <diagonal/>
    </border>
    <border>
      <left style="double">
        <color theme="5"/>
      </left>
      <right style="thin">
        <color theme="5"/>
      </right>
      <top style="double">
        <color theme="5"/>
      </top>
      <bottom style="thin">
        <color theme="5"/>
      </bottom>
      <diagonal/>
    </border>
    <border>
      <left style="thin">
        <color theme="5"/>
      </left>
      <right/>
      <top style="double">
        <color theme="5"/>
      </top>
      <bottom style="thin">
        <color theme="5"/>
      </bottom>
      <diagonal/>
    </border>
    <border>
      <left/>
      <right style="double">
        <color theme="5"/>
      </right>
      <top style="double">
        <color theme="5"/>
      </top>
      <bottom style="thin">
        <color theme="5"/>
      </bottom>
      <diagonal/>
    </border>
    <border>
      <left style="double">
        <color theme="5"/>
      </left>
      <right/>
      <top style="double">
        <color theme="5"/>
      </top>
      <bottom style="thin">
        <color theme="5"/>
      </bottom>
      <diagonal/>
    </border>
    <border>
      <left style="double">
        <color theme="5"/>
      </left>
      <right style="thin">
        <color theme="5"/>
      </right>
      <top style="thin">
        <color theme="5"/>
      </top>
      <bottom style="double">
        <color theme="5"/>
      </bottom>
      <diagonal/>
    </border>
    <border>
      <left style="thin">
        <color theme="5"/>
      </left>
      <right/>
      <top style="thin">
        <color theme="5"/>
      </top>
      <bottom style="double">
        <color theme="5"/>
      </bottom>
      <diagonal/>
    </border>
    <border>
      <left/>
      <right style="double">
        <color theme="5"/>
      </right>
      <top style="thin">
        <color theme="5"/>
      </top>
      <bottom style="double">
        <color theme="5"/>
      </bottom>
      <diagonal/>
    </border>
    <border>
      <left style="double">
        <color theme="5"/>
      </left>
      <right/>
      <top style="thin">
        <color theme="5"/>
      </top>
      <bottom style="double">
        <color theme="5"/>
      </bottom>
      <diagonal/>
    </border>
    <border>
      <left style="double">
        <color rgb="FF92D050"/>
      </left>
      <right style="thin">
        <color rgb="FF92D050"/>
      </right>
      <top style="double">
        <color rgb="FF92D050"/>
      </top>
      <bottom/>
      <diagonal/>
    </border>
    <border>
      <left style="double">
        <color rgb="FF92D050"/>
      </left>
      <right style="thin">
        <color rgb="FF92D050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165" fontId="8" fillId="0" borderId="0"/>
  </cellStyleXfs>
  <cellXfs count="181">
    <xf numFmtId="0" fontId="0" fillId="0" borderId="0" xfId="0"/>
    <xf numFmtId="0" fontId="5" fillId="4" borderId="5" xfId="0" applyFont="1" applyFill="1" applyBorder="1" applyAlignment="1">
      <alignment horizontal="center" vertical="center"/>
    </xf>
    <xf numFmtId="0" fontId="6" fillId="4" borderId="0" xfId="0" applyFont="1" applyFill="1"/>
    <xf numFmtId="0" fontId="5" fillId="4" borderId="0" xfId="0" applyFont="1" applyFill="1" applyAlignment="1">
      <alignment horizontal="left" vertical="center"/>
    </xf>
    <xf numFmtId="49" fontId="5" fillId="4" borderId="0" xfId="0" applyNumberFormat="1" applyFont="1" applyFill="1" applyAlignment="1">
      <alignment horizontal="center" vertical="center"/>
    </xf>
    <xf numFmtId="4" fontId="5" fillId="4" borderId="7" xfId="0" applyNumberFormat="1" applyFont="1" applyFill="1" applyBorder="1" applyAlignment="1">
      <alignment vertical="center"/>
    </xf>
    <xf numFmtId="0" fontId="7" fillId="4" borderId="0" xfId="0" applyFont="1" applyFill="1" applyAlignment="1">
      <alignment vertical="center"/>
    </xf>
    <xf numFmtId="4" fontId="6" fillId="4" borderId="7" xfId="0" applyNumberFormat="1" applyFont="1" applyFill="1" applyBorder="1"/>
    <xf numFmtId="4" fontId="7" fillId="4" borderId="0" xfId="0" applyNumberFormat="1" applyFont="1" applyFill="1"/>
    <xf numFmtId="4" fontId="7" fillId="4" borderId="0" xfId="2" applyNumberFormat="1" applyFont="1" applyFill="1" applyProtection="1">
      <protection locked="0"/>
    </xf>
    <xf numFmtId="4" fontId="5" fillId="4" borderId="7" xfId="2" applyNumberFormat="1" applyFont="1" applyFill="1" applyBorder="1" applyProtection="1">
      <protection locked="0"/>
    </xf>
    <xf numFmtId="0" fontId="5" fillId="4" borderId="0" xfId="0" applyFont="1" applyFill="1"/>
    <xf numFmtId="4" fontId="6" fillId="4" borderId="7" xfId="1" applyNumberFormat="1" applyFont="1" applyFill="1" applyBorder="1" applyAlignment="1">
      <alignment vertical="center"/>
    </xf>
    <xf numFmtId="4" fontId="7" fillId="4" borderId="0" xfId="1" applyNumberFormat="1" applyFont="1" applyFill="1" applyBorder="1" applyAlignment="1">
      <alignment vertical="center"/>
    </xf>
    <xf numFmtId="4" fontId="5" fillId="4" borderId="10" xfId="2" applyNumberFormat="1" applyFont="1" applyFill="1" applyBorder="1" applyProtection="1">
      <protection locked="0"/>
    </xf>
    <xf numFmtId="4" fontId="7" fillId="4" borderId="11" xfId="2" applyNumberFormat="1" applyFont="1" applyFill="1" applyBorder="1" applyProtection="1">
      <protection locked="0"/>
    </xf>
    <xf numFmtId="4" fontId="7" fillId="4" borderId="13" xfId="0" applyNumberFormat="1" applyFont="1" applyFill="1" applyBorder="1" applyAlignment="1">
      <alignment vertical="center"/>
    </xf>
    <xf numFmtId="4" fontId="6" fillId="4" borderId="14" xfId="0" applyNumberFormat="1" applyFont="1" applyFill="1" applyBorder="1" applyAlignment="1">
      <alignment vertical="center"/>
    </xf>
    <xf numFmtId="0" fontId="6" fillId="4" borderId="18" xfId="0" applyFont="1" applyFill="1" applyBorder="1"/>
    <xf numFmtId="0" fontId="7" fillId="4" borderId="0" xfId="0" applyFont="1" applyFill="1"/>
    <xf numFmtId="0" fontId="7" fillId="4" borderId="8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 vertical="center"/>
    </xf>
    <xf numFmtId="4" fontId="7" fillId="4" borderId="9" xfId="0" applyNumberFormat="1" applyFont="1" applyFill="1" applyBorder="1" applyAlignment="1">
      <alignment horizontal="right" vertical="center"/>
    </xf>
    <xf numFmtId="0" fontId="7" fillId="4" borderId="0" xfId="0" applyFont="1" applyFill="1" applyAlignment="1">
      <alignment horizontal="center"/>
    </xf>
    <xf numFmtId="4" fontId="7" fillId="4" borderId="0" xfId="2" applyNumberFormat="1" applyFont="1" applyFill="1" applyAlignment="1" applyProtection="1">
      <alignment horizontal="right"/>
      <protection locked="0"/>
    </xf>
    <xf numFmtId="14" fontId="6" fillId="4" borderId="18" xfId="0" applyNumberFormat="1" applyFont="1" applyFill="1" applyBorder="1"/>
    <xf numFmtId="0" fontId="0" fillId="4" borderId="17" xfId="0" applyFill="1" applyBorder="1"/>
    <xf numFmtId="0" fontId="2" fillId="3" borderId="19" xfId="0" applyFont="1" applyFill="1" applyBorder="1" applyAlignment="1">
      <alignment horizontal="center" vertical="center"/>
    </xf>
    <xf numFmtId="4" fontId="2" fillId="3" borderId="20" xfId="0" applyNumberFormat="1" applyFont="1" applyFill="1" applyBorder="1" applyAlignment="1">
      <alignment horizontal="right" vertical="center"/>
    </xf>
    <xf numFmtId="0" fontId="2" fillId="3" borderId="20" xfId="0" applyFont="1" applyFill="1" applyBorder="1" applyAlignment="1">
      <alignment horizontal="center" vertical="center"/>
    </xf>
    <xf numFmtId="4" fontId="7" fillId="3" borderId="20" xfId="0" applyNumberFormat="1" applyFont="1" applyFill="1" applyBorder="1" applyAlignment="1">
      <alignment horizontal="right"/>
    </xf>
    <xf numFmtId="4" fontId="2" fillId="3" borderId="20" xfId="0" applyNumberFormat="1" applyFont="1" applyFill="1" applyBorder="1" applyAlignment="1">
      <alignment horizontal="right"/>
    </xf>
    <xf numFmtId="0" fontId="0" fillId="3" borderId="20" xfId="0" applyFill="1" applyBorder="1"/>
    <xf numFmtId="4" fontId="7" fillId="4" borderId="0" xfId="0" applyNumberFormat="1" applyFont="1" applyFill="1" applyAlignment="1">
      <alignment vertical="center"/>
    </xf>
    <xf numFmtId="0" fontId="0" fillId="4" borderId="18" xfId="0" applyFill="1" applyBorder="1"/>
    <xf numFmtId="0" fontId="6" fillId="4" borderId="13" xfId="0" applyFont="1" applyFill="1" applyBorder="1"/>
    <xf numFmtId="0" fontId="6" fillId="4" borderId="4" xfId="0" applyFont="1" applyFill="1" applyBorder="1"/>
    <xf numFmtId="4" fontId="6" fillId="4" borderId="13" xfId="0" applyNumberFormat="1" applyFont="1" applyFill="1" applyBorder="1" applyAlignment="1">
      <alignment vertical="center"/>
    </xf>
    <xf numFmtId="0" fontId="0" fillId="4" borderId="12" xfId="0" applyFill="1" applyBorder="1"/>
    <xf numFmtId="4" fontId="6" fillId="4" borderId="4" xfId="0" applyNumberFormat="1" applyFont="1" applyFill="1" applyBorder="1" applyAlignment="1">
      <alignment horizontal="center" vertical="center"/>
    </xf>
    <xf numFmtId="4" fontId="7" fillId="4" borderId="21" xfId="0" applyNumberFormat="1" applyFont="1" applyFill="1" applyBorder="1" applyAlignment="1">
      <alignment vertical="center"/>
    </xf>
    <xf numFmtId="4" fontId="5" fillId="4" borderId="7" xfId="0" applyNumberFormat="1" applyFont="1" applyFill="1" applyBorder="1" applyAlignment="1">
      <alignment horizontal="right" vertical="center"/>
    </xf>
    <xf numFmtId="0" fontId="7" fillId="4" borderId="7" xfId="0" applyFont="1" applyFill="1" applyBorder="1" applyAlignment="1">
      <alignment vertical="center"/>
    </xf>
    <xf numFmtId="0" fontId="5" fillId="4" borderId="7" xfId="0" applyFont="1" applyFill="1" applyBorder="1" applyAlignment="1">
      <alignment vertical="center"/>
    </xf>
    <xf numFmtId="4" fontId="5" fillId="4" borderId="7" xfId="0" applyNumberFormat="1" applyFont="1" applyFill="1" applyBorder="1"/>
    <xf numFmtId="4" fontId="7" fillId="4" borderId="7" xfId="0" applyNumberFormat="1" applyFont="1" applyFill="1" applyBorder="1"/>
    <xf numFmtId="4" fontId="7" fillId="4" borderId="7" xfId="2" applyNumberFormat="1" applyFont="1" applyFill="1" applyBorder="1" applyProtection="1">
      <protection locked="0"/>
    </xf>
    <xf numFmtId="4" fontId="7" fillId="4" borderId="7" xfId="1" applyNumberFormat="1" applyFont="1" applyFill="1" applyBorder="1" applyAlignment="1">
      <alignment vertical="center"/>
    </xf>
    <xf numFmtId="4" fontId="7" fillId="4" borderId="10" xfId="2" applyNumberFormat="1" applyFont="1" applyFill="1" applyBorder="1" applyProtection="1">
      <protection locked="0"/>
    </xf>
    <xf numFmtId="0" fontId="7" fillId="4" borderId="22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vertical="center"/>
    </xf>
    <xf numFmtId="4" fontId="7" fillId="4" borderId="8" xfId="0" applyNumberFormat="1" applyFont="1" applyFill="1" applyBorder="1"/>
    <xf numFmtId="4" fontId="7" fillId="4" borderId="8" xfId="2" applyNumberFormat="1" applyFont="1" applyFill="1" applyBorder="1" applyAlignment="1" applyProtection="1">
      <alignment horizontal="right"/>
      <protection locked="0"/>
    </xf>
    <xf numFmtId="4" fontId="7" fillId="4" borderId="8" xfId="2" applyNumberFormat="1" applyFont="1" applyFill="1" applyBorder="1" applyProtection="1">
      <protection locked="0"/>
    </xf>
    <xf numFmtId="4" fontId="7" fillId="4" borderId="8" xfId="1" applyNumberFormat="1" applyFont="1" applyFill="1" applyBorder="1" applyAlignment="1">
      <alignment vertical="center"/>
    </xf>
    <xf numFmtId="4" fontId="7" fillId="4" borderId="25" xfId="2" applyNumberFormat="1" applyFont="1" applyFill="1" applyBorder="1" applyProtection="1">
      <protection locked="0"/>
    </xf>
    <xf numFmtId="0" fontId="5" fillId="4" borderId="0" xfId="0" applyFont="1" applyFill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7" fillId="4" borderId="8" xfId="0" applyFont="1" applyFill="1" applyBorder="1" applyAlignment="1">
      <alignment horizontal="center" vertical="center"/>
    </xf>
    <xf numFmtId="0" fontId="7" fillId="4" borderId="9" xfId="0" applyFont="1" applyFill="1" applyBorder="1" applyAlignment="1">
      <alignment horizontal="center" vertical="center"/>
    </xf>
    <xf numFmtId="4" fontId="2" fillId="3" borderId="7" xfId="0" applyNumberFormat="1" applyFont="1" applyFill="1" applyBorder="1"/>
    <xf numFmtId="4" fontId="2" fillId="3" borderId="7" xfId="0" applyNumberFormat="1" applyFont="1" applyFill="1" applyBorder="1" applyAlignment="1">
      <alignment horizontal="right" vertical="center"/>
    </xf>
    <xf numFmtId="4" fontId="13" fillId="4" borderId="37" xfId="0" applyNumberFormat="1" applyFont="1" applyFill="1" applyBorder="1" applyAlignment="1">
      <alignment horizontal="right"/>
    </xf>
    <xf numFmtId="4" fontId="13" fillId="4" borderId="37" xfId="0" applyNumberFormat="1" applyFont="1" applyFill="1" applyBorder="1" applyAlignment="1">
      <alignment horizontal="center"/>
    </xf>
    <xf numFmtId="49" fontId="13" fillId="4" borderId="38" xfId="0" applyNumberFormat="1" applyFont="1" applyFill="1" applyBorder="1" applyAlignment="1">
      <alignment horizontal="center"/>
    </xf>
    <xf numFmtId="4" fontId="15" fillId="4" borderId="38" xfId="0" applyNumberFormat="1" applyFont="1" applyFill="1" applyBorder="1"/>
    <xf numFmtId="4" fontId="13" fillId="4" borderId="38" xfId="0" applyNumberFormat="1" applyFont="1" applyFill="1" applyBorder="1"/>
    <xf numFmtId="4" fontId="16" fillId="4" borderId="38" xfId="0" applyNumberFormat="1" applyFont="1" applyFill="1" applyBorder="1"/>
    <xf numFmtId="4" fontId="17" fillId="4" borderId="38" xfId="0" applyNumberFormat="1" applyFont="1" applyFill="1" applyBorder="1"/>
    <xf numFmtId="49" fontId="13" fillId="4" borderId="39" xfId="0" applyNumberFormat="1" applyFont="1" applyFill="1" applyBorder="1" applyAlignment="1">
      <alignment horizontal="center"/>
    </xf>
    <xf numFmtId="4" fontId="15" fillId="4" borderId="39" xfId="0" applyNumberFormat="1" applyFont="1" applyFill="1" applyBorder="1"/>
    <xf numFmtId="4" fontId="13" fillId="4" borderId="39" xfId="0" applyNumberFormat="1" applyFont="1" applyFill="1" applyBorder="1"/>
    <xf numFmtId="4" fontId="16" fillId="4" borderId="39" xfId="0" applyNumberFormat="1" applyFont="1" applyFill="1" applyBorder="1"/>
    <xf numFmtId="4" fontId="17" fillId="4" borderId="39" xfId="0" applyNumberFormat="1" applyFont="1" applyFill="1" applyBorder="1"/>
    <xf numFmtId="4" fontId="18" fillId="4" borderId="39" xfId="0" applyNumberFormat="1" applyFont="1" applyFill="1" applyBorder="1"/>
    <xf numFmtId="49" fontId="13" fillId="4" borderId="40" xfId="0" applyNumberFormat="1" applyFont="1" applyFill="1" applyBorder="1" applyAlignment="1">
      <alignment horizontal="center"/>
    </xf>
    <xf numFmtId="4" fontId="15" fillId="4" borderId="40" xfId="0" applyNumberFormat="1" applyFont="1" applyFill="1" applyBorder="1"/>
    <xf numFmtId="4" fontId="13" fillId="4" borderId="40" xfId="0" applyNumberFormat="1" applyFont="1" applyFill="1" applyBorder="1"/>
    <xf numFmtId="4" fontId="16" fillId="4" borderId="40" xfId="0" applyNumberFormat="1" applyFont="1" applyFill="1" applyBorder="1"/>
    <xf numFmtId="4" fontId="13" fillId="4" borderId="37" xfId="0" applyNumberFormat="1" applyFont="1" applyFill="1" applyBorder="1"/>
    <xf numFmtId="4" fontId="16" fillId="4" borderId="37" xfId="0" applyNumberFormat="1" applyFont="1" applyFill="1" applyBorder="1"/>
    <xf numFmtId="4" fontId="16" fillId="4" borderId="37" xfId="0" applyNumberFormat="1" applyFont="1" applyFill="1" applyBorder="1" applyAlignment="1">
      <alignment vertical="center"/>
    </xf>
    <xf numFmtId="0" fontId="19" fillId="4" borderId="0" xfId="0" applyFont="1" applyFill="1"/>
    <xf numFmtId="0" fontId="6" fillId="0" borderId="49" xfId="0" applyFont="1" applyBorder="1" applyAlignment="1">
      <alignment horizontal="center" vertical="center"/>
    </xf>
    <xf numFmtId="14" fontId="6" fillId="4" borderId="50" xfId="0" applyNumberFormat="1" applyFont="1" applyFill="1" applyBorder="1"/>
    <xf numFmtId="0" fontId="6" fillId="4" borderId="50" xfId="0" applyFont="1" applyFill="1" applyBorder="1"/>
    <xf numFmtId="0" fontId="6" fillId="6" borderId="0" xfId="0" applyFont="1" applyFill="1"/>
    <xf numFmtId="49" fontId="5" fillId="6" borderId="0" xfId="0" applyNumberFormat="1" applyFont="1" applyFill="1" applyAlignment="1">
      <alignment horizontal="center" vertical="center"/>
    </xf>
    <xf numFmtId="4" fontId="6" fillId="6" borderId="7" xfId="0" applyNumberFormat="1" applyFont="1" applyFill="1" applyBorder="1"/>
    <xf numFmtId="4" fontId="7" fillId="6" borderId="0" xfId="0" applyNumberFormat="1" applyFont="1" applyFill="1"/>
    <xf numFmtId="4" fontId="7" fillId="6" borderId="8" xfId="0" applyNumberFormat="1" applyFont="1" applyFill="1" applyBorder="1"/>
    <xf numFmtId="4" fontId="5" fillId="6" borderId="7" xfId="0" applyNumberFormat="1" applyFont="1" applyFill="1" applyBorder="1"/>
    <xf numFmtId="4" fontId="5" fillId="6" borderId="7" xfId="0" applyNumberFormat="1" applyFont="1" applyFill="1" applyBorder="1" applyAlignment="1">
      <alignment horizontal="right" vertical="center"/>
    </xf>
    <xf numFmtId="4" fontId="7" fillId="6" borderId="7" xfId="0" applyNumberFormat="1" applyFont="1" applyFill="1" applyBorder="1"/>
    <xf numFmtId="0" fontId="7" fillId="6" borderId="0" xfId="0" applyFont="1" applyFill="1"/>
    <xf numFmtId="4" fontId="5" fillId="6" borderId="7" xfId="2" applyNumberFormat="1" applyFont="1" applyFill="1" applyBorder="1" applyProtection="1">
      <protection locked="0"/>
    </xf>
    <xf numFmtId="4" fontId="7" fillId="6" borderId="0" xfId="2" applyNumberFormat="1" applyFont="1" applyFill="1" applyProtection="1">
      <protection locked="0"/>
    </xf>
    <xf numFmtId="4" fontId="7" fillId="6" borderId="8" xfId="2" applyNumberFormat="1" applyFont="1" applyFill="1" applyBorder="1" applyProtection="1">
      <protection locked="0"/>
    </xf>
    <xf numFmtId="4" fontId="7" fillId="6" borderId="7" xfId="2" applyNumberFormat="1" applyFont="1" applyFill="1" applyBorder="1" applyProtection="1">
      <protection locked="0"/>
    </xf>
    <xf numFmtId="4" fontId="7" fillId="6" borderId="9" xfId="0" applyNumberFormat="1" applyFont="1" applyFill="1" applyBorder="1" applyAlignment="1">
      <alignment horizontal="right" vertical="center"/>
    </xf>
    <xf numFmtId="0" fontId="7" fillId="6" borderId="0" xfId="0" applyFont="1" applyFill="1" applyAlignment="1">
      <alignment horizontal="center"/>
    </xf>
    <xf numFmtId="0" fontId="6" fillId="5" borderId="0" xfId="0" applyFont="1" applyFill="1"/>
    <xf numFmtId="0" fontId="5" fillId="5" borderId="0" xfId="0" applyFont="1" applyFill="1" applyAlignment="1">
      <alignment horizontal="left" vertical="center"/>
    </xf>
    <xf numFmtId="49" fontId="5" fillId="5" borderId="0" xfId="0" applyNumberFormat="1" applyFont="1" applyFill="1" applyAlignment="1">
      <alignment horizontal="center" vertical="center"/>
    </xf>
    <xf numFmtId="4" fontId="5" fillId="5" borderId="7" xfId="0" applyNumberFormat="1" applyFont="1" applyFill="1" applyBorder="1" applyAlignment="1">
      <alignment vertical="center"/>
    </xf>
    <xf numFmtId="4" fontId="7" fillId="5" borderId="0" xfId="0" applyNumberFormat="1" applyFont="1" applyFill="1"/>
    <xf numFmtId="4" fontId="6" fillId="5" borderId="7" xfId="0" applyNumberFormat="1" applyFont="1" applyFill="1" applyBorder="1"/>
    <xf numFmtId="4" fontId="7" fillId="5" borderId="8" xfId="0" applyNumberFormat="1" applyFont="1" applyFill="1" applyBorder="1"/>
    <xf numFmtId="4" fontId="5" fillId="5" borderId="7" xfId="0" applyNumberFormat="1" applyFont="1" applyFill="1" applyBorder="1"/>
    <xf numFmtId="4" fontId="5" fillId="5" borderId="7" xfId="0" applyNumberFormat="1" applyFont="1" applyFill="1" applyBorder="1" applyAlignment="1">
      <alignment horizontal="right" vertical="center"/>
    </xf>
    <xf numFmtId="0" fontId="0" fillId="0" borderId="20" xfId="0" applyBorder="1"/>
    <xf numFmtId="0" fontId="3" fillId="4" borderId="0" xfId="0" applyFont="1" applyFill="1"/>
    <xf numFmtId="0" fontId="0" fillId="4" borderId="0" xfId="0" applyFill="1"/>
    <xf numFmtId="0" fontId="3" fillId="4" borderId="0" xfId="0" applyFont="1" applyFill="1" applyAlignment="1">
      <alignment horizontal="right"/>
    </xf>
    <xf numFmtId="0" fontId="21" fillId="4" borderId="0" xfId="0" applyFont="1" applyFill="1" applyAlignment="1">
      <alignment horizontal="left"/>
    </xf>
    <xf numFmtId="4" fontId="2" fillId="6" borderId="20" xfId="0" applyNumberFormat="1" applyFont="1" applyFill="1" applyBorder="1" applyAlignment="1">
      <alignment horizontal="right"/>
    </xf>
    <xf numFmtId="4" fontId="7" fillId="6" borderId="20" xfId="0" applyNumberFormat="1" applyFont="1" applyFill="1" applyBorder="1" applyAlignment="1">
      <alignment horizontal="right"/>
    </xf>
    <xf numFmtId="4" fontId="2" fillId="5" borderId="20" xfId="0" applyNumberFormat="1" applyFont="1" applyFill="1" applyBorder="1" applyAlignment="1">
      <alignment horizontal="right"/>
    </xf>
    <xf numFmtId="4" fontId="7" fillId="5" borderId="20" xfId="0" applyNumberFormat="1" applyFont="1" applyFill="1" applyBorder="1" applyAlignment="1">
      <alignment horizontal="right"/>
    </xf>
    <xf numFmtId="0" fontId="7" fillId="4" borderId="0" xfId="0" applyFont="1" applyFill="1" applyAlignment="1">
      <alignment horizontal="left" vertical="center"/>
    </xf>
    <xf numFmtId="4" fontId="5" fillId="4" borderId="0" xfId="0" applyNumberFormat="1" applyFont="1" applyFill="1" applyAlignment="1">
      <alignment horizontal="right" vertical="center"/>
    </xf>
    <xf numFmtId="4" fontId="7" fillId="4" borderId="0" xfId="0" applyNumberFormat="1" applyFont="1" applyFill="1" applyAlignment="1">
      <alignment horizontal="right"/>
    </xf>
    <xf numFmtId="4" fontId="5" fillId="6" borderId="0" xfId="0" applyNumberFormat="1" applyFont="1" applyFill="1" applyAlignment="1">
      <alignment horizontal="right" vertical="center"/>
    </xf>
    <xf numFmtId="4" fontId="5" fillId="5" borderId="0" xfId="0" applyNumberFormat="1" applyFont="1" applyFill="1" applyAlignment="1">
      <alignment horizontal="right" vertical="center"/>
    </xf>
    <xf numFmtId="4" fontId="5" fillId="6" borderId="0" xfId="0" applyNumberFormat="1" applyFont="1" applyFill="1" applyAlignment="1">
      <alignment horizontal="right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4" fontId="7" fillId="4" borderId="23" xfId="0" applyNumberFormat="1" applyFont="1" applyFill="1" applyBorder="1" applyAlignment="1">
      <alignment horizontal="center" vertical="center"/>
    </xf>
    <xf numFmtId="4" fontId="7" fillId="4" borderId="6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0" fontId="5" fillId="4" borderId="4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2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4" fontId="6" fillId="4" borderId="26" xfId="0" applyNumberFormat="1" applyFont="1" applyFill="1" applyBorder="1" applyAlignment="1">
      <alignment horizontal="center" vertical="center"/>
    </xf>
    <xf numFmtId="4" fontId="6" fillId="4" borderId="15" xfId="0" applyNumberFormat="1" applyFont="1" applyFill="1" applyBorder="1" applyAlignment="1">
      <alignment horizontal="center" vertical="center"/>
    </xf>
    <xf numFmtId="4" fontId="9" fillId="4" borderId="5" xfId="0" applyNumberFormat="1" applyFont="1" applyFill="1" applyBorder="1" applyAlignment="1">
      <alignment horizontal="center" vertical="center"/>
    </xf>
    <xf numFmtId="4" fontId="9" fillId="4" borderId="4" xfId="0" applyNumberFormat="1" applyFont="1" applyFill="1" applyBorder="1" applyAlignment="1">
      <alignment horizontal="center" vertical="center"/>
    </xf>
    <xf numFmtId="4" fontId="9" fillId="4" borderId="22" xfId="0" applyNumberFormat="1" applyFont="1" applyFill="1" applyBorder="1" applyAlignment="1">
      <alignment horizontal="center" vertical="center"/>
    </xf>
    <xf numFmtId="0" fontId="5" fillId="4" borderId="22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4" fontId="7" fillId="2" borderId="13" xfId="0" applyNumberFormat="1" applyFont="1" applyFill="1" applyBorder="1" applyAlignment="1">
      <alignment horizontal="center" vertical="center"/>
    </xf>
    <xf numFmtId="4" fontId="7" fillId="2" borderId="4" xfId="0" applyNumberFormat="1" applyFont="1" applyFill="1" applyBorder="1" applyAlignment="1">
      <alignment horizontal="center" vertical="center"/>
    </xf>
    <xf numFmtId="4" fontId="7" fillId="4" borderId="13" xfId="0" applyNumberFormat="1" applyFont="1" applyFill="1" applyBorder="1" applyAlignment="1">
      <alignment horizontal="center" vertical="center"/>
    </xf>
    <xf numFmtId="4" fontId="7" fillId="4" borderId="4" xfId="0" applyNumberFormat="1" applyFont="1" applyFill="1" applyBorder="1" applyAlignment="1">
      <alignment horizontal="center" vertical="center"/>
    </xf>
    <xf numFmtId="4" fontId="2" fillId="2" borderId="26" xfId="0" applyNumberFormat="1" applyFont="1" applyFill="1" applyBorder="1" applyAlignment="1">
      <alignment horizontal="center" vertical="center"/>
    </xf>
    <xf numFmtId="4" fontId="2" fillId="2" borderId="15" xfId="0" applyNumberFormat="1" applyFont="1" applyFill="1" applyBorder="1" applyAlignment="1">
      <alignment horizontal="center" vertical="center"/>
    </xf>
    <xf numFmtId="4" fontId="10" fillId="2" borderId="14" xfId="0" applyNumberFormat="1" applyFont="1" applyFill="1" applyBorder="1" applyAlignment="1">
      <alignment horizontal="center" vertical="center"/>
    </xf>
    <xf numFmtId="4" fontId="10" fillId="2" borderId="5" xfId="0" applyNumberFormat="1" applyFont="1" applyFill="1" applyBorder="1" applyAlignment="1">
      <alignment horizontal="center" vertical="center"/>
    </xf>
    <xf numFmtId="4" fontId="5" fillId="4" borderId="14" xfId="0" applyNumberFormat="1" applyFont="1" applyFill="1" applyBorder="1" applyAlignment="1">
      <alignment horizontal="center" vertical="center"/>
    </xf>
    <xf numFmtId="4" fontId="5" fillId="4" borderId="5" xfId="0" applyNumberFormat="1" applyFont="1" applyFill="1" applyBorder="1" applyAlignment="1">
      <alignment horizontal="center" vertical="center"/>
    </xf>
    <xf numFmtId="0" fontId="13" fillId="5" borderId="41" xfId="0" applyFont="1" applyFill="1" applyBorder="1" applyAlignment="1">
      <alignment horizontal="center" vertical="center"/>
    </xf>
    <xf numFmtId="0" fontId="13" fillId="5" borderId="42" xfId="0" applyFont="1" applyFill="1" applyBorder="1" applyAlignment="1">
      <alignment horizontal="center" vertical="center"/>
    </xf>
    <xf numFmtId="0" fontId="13" fillId="5" borderId="45" xfId="0" applyFont="1" applyFill="1" applyBorder="1" applyAlignment="1">
      <alignment horizontal="center" vertical="center"/>
    </xf>
    <xf numFmtId="0" fontId="13" fillId="5" borderId="46" xfId="0" applyFont="1" applyFill="1" applyBorder="1" applyAlignment="1">
      <alignment horizontal="center" vertical="center"/>
    </xf>
    <xf numFmtId="4" fontId="14" fillId="5" borderId="43" xfId="0" applyNumberFormat="1" applyFont="1" applyFill="1" applyBorder="1" applyAlignment="1">
      <alignment horizontal="center" vertical="center"/>
    </xf>
    <xf numFmtId="0" fontId="14" fillId="5" borderId="47" xfId="0" applyFont="1" applyFill="1" applyBorder="1" applyAlignment="1">
      <alignment horizontal="center" vertical="center"/>
    </xf>
    <xf numFmtId="4" fontId="13" fillId="5" borderId="44" xfId="0" applyNumberFormat="1" applyFont="1" applyFill="1" applyBorder="1" applyAlignment="1">
      <alignment horizontal="center" vertical="center"/>
    </xf>
    <xf numFmtId="4" fontId="13" fillId="5" borderId="48" xfId="0" applyNumberFormat="1" applyFont="1" applyFill="1" applyBorder="1" applyAlignment="1">
      <alignment horizontal="center" vertical="center"/>
    </xf>
    <xf numFmtId="4" fontId="20" fillId="5" borderId="29" xfId="0" applyNumberFormat="1" applyFont="1" applyFill="1" applyBorder="1" applyAlignment="1">
      <alignment horizontal="center" vertical="center"/>
    </xf>
    <xf numFmtId="4" fontId="20" fillId="5" borderId="32" xfId="0" applyNumberFormat="1" applyFont="1" applyFill="1" applyBorder="1" applyAlignment="1">
      <alignment horizontal="center" vertical="center"/>
    </xf>
    <xf numFmtId="0" fontId="12" fillId="5" borderId="28" xfId="0" applyFont="1" applyFill="1" applyBorder="1" applyAlignment="1">
      <alignment horizontal="center" vertical="center"/>
    </xf>
    <xf numFmtId="0" fontId="12" fillId="5" borderId="29" xfId="0" applyFont="1" applyFill="1" applyBorder="1" applyAlignment="1">
      <alignment horizontal="center" vertical="center"/>
    </xf>
    <xf numFmtId="0" fontId="12" fillId="5" borderId="31" xfId="0" applyFont="1" applyFill="1" applyBorder="1" applyAlignment="1">
      <alignment horizontal="center" vertical="center"/>
    </xf>
    <xf numFmtId="0" fontId="12" fillId="5" borderId="32" xfId="0" applyFont="1" applyFill="1" applyBorder="1" applyAlignment="1">
      <alignment horizontal="center" vertical="center"/>
    </xf>
    <xf numFmtId="0" fontId="11" fillId="5" borderId="27" xfId="0" applyFont="1" applyFill="1" applyBorder="1" applyAlignment="1">
      <alignment horizontal="center" vertical="center"/>
    </xf>
    <xf numFmtId="0" fontId="11" fillId="5" borderId="28" xfId="0" applyFont="1" applyFill="1" applyBorder="1" applyAlignment="1">
      <alignment horizontal="center" vertical="center"/>
    </xf>
    <xf numFmtId="0" fontId="11" fillId="5" borderId="30" xfId="0" applyFont="1" applyFill="1" applyBorder="1" applyAlignment="1">
      <alignment horizontal="center" vertical="center"/>
    </xf>
    <xf numFmtId="0" fontId="11" fillId="5" borderId="31" xfId="0" applyFont="1" applyFill="1" applyBorder="1" applyAlignment="1">
      <alignment horizontal="center" vertical="center"/>
    </xf>
    <xf numFmtId="4" fontId="13" fillId="4" borderId="33" xfId="0" applyNumberFormat="1" applyFont="1" applyFill="1" applyBorder="1" applyAlignment="1">
      <alignment horizontal="center" vertical="center"/>
    </xf>
    <xf numFmtId="4" fontId="13" fillId="4" borderId="34" xfId="0" applyNumberFormat="1" applyFont="1" applyFill="1" applyBorder="1" applyAlignment="1">
      <alignment horizontal="center" vertical="center"/>
    </xf>
    <xf numFmtId="4" fontId="14" fillId="4" borderId="35" xfId="0" applyNumberFormat="1" applyFont="1" applyFill="1" applyBorder="1" applyAlignment="1">
      <alignment horizontal="center" vertical="center"/>
    </xf>
    <xf numFmtId="4" fontId="14" fillId="4" borderId="34" xfId="0" applyNumberFormat="1" applyFont="1" applyFill="1" applyBorder="1" applyAlignment="1">
      <alignment horizontal="center" vertical="center"/>
    </xf>
    <xf numFmtId="4" fontId="13" fillId="4" borderId="36" xfId="0" applyNumberFormat="1" applyFont="1" applyFill="1" applyBorder="1" applyAlignment="1">
      <alignment horizontal="center" vertical="center"/>
    </xf>
    <xf numFmtId="49" fontId="13" fillId="4" borderId="37" xfId="0" applyNumberFormat="1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ปกติ 12" xfId="2" xr:uid="{493063E5-A342-494B-9EFE-ABB662ECAA7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5C1E7-96F0-4E50-B7A5-5F39CDC0DC89}">
  <dimension ref="A1:Q68"/>
  <sheetViews>
    <sheetView tabSelected="1" zoomScale="110" zoomScaleNormal="110" workbookViewId="0">
      <selection activeCell="I50" sqref="I50"/>
    </sheetView>
  </sheetViews>
  <sheetFormatPr defaultRowHeight="15"/>
  <cols>
    <col min="1" max="1" width="13.42578125" customWidth="1"/>
    <col min="2" max="2" width="11.85546875" customWidth="1"/>
    <col min="3" max="4" width="13.42578125" customWidth="1"/>
    <col min="5" max="5" width="25.28515625" customWidth="1"/>
    <col min="6" max="6" width="25.7109375" customWidth="1"/>
    <col min="7" max="7" width="7.140625" customWidth="1"/>
    <col min="8" max="8" width="16.7109375" customWidth="1"/>
    <col min="9" max="9" width="7.140625" customWidth="1"/>
    <col min="10" max="10" width="10" customWidth="1"/>
    <col min="11" max="12" width="7.42578125" customWidth="1"/>
    <col min="13" max="13" width="6.42578125" customWidth="1"/>
    <col min="14" max="14" width="5.85546875" customWidth="1"/>
    <col min="15" max="15" width="5.140625" customWidth="1"/>
    <col min="16" max="16" width="7.28515625" customWidth="1"/>
    <col min="17" max="17" width="6.85546875" customWidth="1"/>
  </cols>
  <sheetData>
    <row r="1" spans="1:17">
      <c r="A1" s="112" t="s">
        <v>0</v>
      </c>
      <c r="B1" s="112"/>
      <c r="C1" s="112"/>
      <c r="D1" s="112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</row>
    <row r="2" spans="1:17" ht="15.75" thickBot="1">
      <c r="A2" s="112" t="s">
        <v>1</v>
      </c>
      <c r="B2" s="112"/>
      <c r="C2" s="112"/>
      <c r="D2" s="112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4" t="s">
        <v>143</v>
      </c>
      <c r="Q2" s="115" t="s">
        <v>144</v>
      </c>
    </row>
    <row r="3" spans="1:17" ht="15.75" thickTop="1">
      <c r="A3" s="126" t="s">
        <v>2</v>
      </c>
      <c r="B3" s="145" t="s">
        <v>98</v>
      </c>
      <c r="C3" s="145" t="s">
        <v>3</v>
      </c>
      <c r="D3" s="145" t="s">
        <v>4</v>
      </c>
      <c r="E3" s="132" t="s">
        <v>5</v>
      </c>
      <c r="F3" s="132" t="s">
        <v>6</v>
      </c>
      <c r="G3" s="134" t="s">
        <v>7</v>
      </c>
      <c r="H3" s="134" t="s">
        <v>171</v>
      </c>
      <c r="I3" s="137" t="s">
        <v>172</v>
      </c>
      <c r="J3" s="136" t="s">
        <v>8</v>
      </c>
      <c r="K3" s="134"/>
      <c r="L3" s="136" t="s">
        <v>9</v>
      </c>
      <c r="M3" s="137"/>
      <c r="N3" s="136" t="s">
        <v>10</v>
      </c>
      <c r="O3" s="137" t="s">
        <v>94</v>
      </c>
      <c r="P3" s="136" t="s">
        <v>52</v>
      </c>
      <c r="Q3" s="128" t="s">
        <v>53</v>
      </c>
    </row>
    <row r="4" spans="1:17" ht="15.75" thickBot="1">
      <c r="A4" s="127"/>
      <c r="B4" s="146"/>
      <c r="C4" s="146"/>
      <c r="D4" s="146"/>
      <c r="E4" s="133"/>
      <c r="F4" s="133"/>
      <c r="G4" s="135"/>
      <c r="H4" s="135"/>
      <c r="I4" s="144"/>
      <c r="J4" s="1" t="s">
        <v>56</v>
      </c>
      <c r="K4" s="21" t="s">
        <v>57</v>
      </c>
      <c r="L4" s="1" t="s">
        <v>56</v>
      </c>
      <c r="M4" s="49" t="s">
        <v>57</v>
      </c>
      <c r="N4" s="138"/>
      <c r="O4" s="144"/>
      <c r="P4" s="138"/>
      <c r="Q4" s="129"/>
    </row>
    <row r="5" spans="1:17" ht="15.75" thickTop="1">
      <c r="A5" s="84"/>
      <c r="B5" s="62">
        <v>17786.599999999999</v>
      </c>
      <c r="C5" s="27"/>
      <c r="D5" s="27"/>
      <c r="E5" s="3"/>
      <c r="F5" s="3"/>
      <c r="G5" s="56"/>
      <c r="H5" s="56"/>
      <c r="I5" s="121"/>
      <c r="J5" s="57"/>
      <c r="K5" s="58"/>
      <c r="L5" s="57"/>
      <c r="M5" s="59"/>
      <c r="N5" s="57"/>
      <c r="O5" s="56"/>
      <c r="P5" s="57"/>
      <c r="Q5" s="60"/>
    </row>
    <row r="6" spans="1:17">
      <c r="A6" s="85">
        <v>244352</v>
      </c>
      <c r="B6" s="61">
        <f>B5+C5</f>
        <v>17786.599999999999</v>
      </c>
      <c r="C6" s="28">
        <v>19888</v>
      </c>
      <c r="D6" s="29"/>
      <c r="E6" s="2" t="s">
        <v>11</v>
      </c>
      <c r="F6" s="3" t="s">
        <v>12</v>
      </c>
      <c r="G6" s="4" t="s">
        <v>13</v>
      </c>
      <c r="H6" s="4" t="s">
        <v>174</v>
      </c>
      <c r="I6" s="121"/>
      <c r="J6" s="5">
        <v>19888</v>
      </c>
      <c r="K6" s="33"/>
      <c r="L6" s="43"/>
      <c r="M6" s="50"/>
      <c r="N6" s="42"/>
      <c r="O6" s="6"/>
      <c r="P6" s="41">
        <f>J6+N6+L6</f>
        <v>19888</v>
      </c>
      <c r="Q6" s="22"/>
    </row>
    <row r="7" spans="1:17">
      <c r="A7" s="85">
        <v>244353</v>
      </c>
      <c r="B7" s="61">
        <f>B6+C6+D6</f>
        <v>37674.6</v>
      </c>
      <c r="C7" s="28">
        <v>5000</v>
      </c>
      <c r="D7" s="29"/>
      <c r="E7" s="2" t="s">
        <v>14</v>
      </c>
      <c r="F7" s="3" t="s">
        <v>15</v>
      </c>
      <c r="G7" s="4" t="s">
        <v>16</v>
      </c>
      <c r="H7" s="4" t="s">
        <v>174</v>
      </c>
      <c r="I7" s="121"/>
      <c r="J7" s="5">
        <v>5000</v>
      </c>
      <c r="K7" s="33"/>
      <c r="L7" s="43"/>
      <c r="M7" s="50"/>
      <c r="N7" s="42"/>
      <c r="O7" s="6"/>
      <c r="P7" s="41">
        <f>J7+N7+L7</f>
        <v>5000</v>
      </c>
      <c r="Q7" s="22"/>
    </row>
    <row r="8" spans="1:17">
      <c r="A8" s="86"/>
      <c r="B8" s="61">
        <f t="shared" ref="B8:B45" si="0">B7+C7+D7</f>
        <v>42674.6</v>
      </c>
      <c r="C8" s="28">
        <v>16530.36</v>
      </c>
      <c r="D8" s="29"/>
      <c r="E8" s="2" t="s">
        <v>17</v>
      </c>
      <c r="F8" s="3" t="s">
        <v>18</v>
      </c>
      <c r="G8" s="4" t="s">
        <v>19</v>
      </c>
      <c r="H8" s="4" t="s">
        <v>173</v>
      </c>
      <c r="I8" s="121"/>
      <c r="J8" s="5">
        <v>16800</v>
      </c>
      <c r="K8" s="33"/>
      <c r="L8" s="43"/>
      <c r="M8" s="50"/>
      <c r="N8" s="43">
        <v>-269.64</v>
      </c>
      <c r="O8" s="6"/>
      <c r="P8" s="41">
        <f>J8+N8+L8</f>
        <v>16530.36</v>
      </c>
      <c r="Q8" s="22"/>
    </row>
    <row r="9" spans="1:17">
      <c r="A9" s="86"/>
      <c r="B9" s="61">
        <f t="shared" si="0"/>
        <v>59204.959999999999</v>
      </c>
      <c r="C9" s="28"/>
      <c r="D9" s="29"/>
      <c r="E9" s="2" t="s">
        <v>20</v>
      </c>
      <c r="F9" s="3" t="s">
        <v>21</v>
      </c>
      <c r="G9" s="4" t="s">
        <v>22</v>
      </c>
      <c r="H9" s="4" t="s">
        <v>173</v>
      </c>
      <c r="I9" s="121"/>
      <c r="J9" s="5">
        <v>8000</v>
      </c>
      <c r="K9" s="33"/>
      <c r="L9" s="43"/>
      <c r="M9" s="50"/>
      <c r="N9" s="43">
        <v>-128.4</v>
      </c>
      <c r="O9" s="6"/>
      <c r="P9" s="41">
        <f>J9+N9+L9</f>
        <v>7871.6</v>
      </c>
      <c r="Q9" s="22"/>
    </row>
    <row r="10" spans="1:17">
      <c r="A10" s="85">
        <v>244355</v>
      </c>
      <c r="B10" s="61">
        <f t="shared" si="0"/>
        <v>59204.959999999999</v>
      </c>
      <c r="C10" s="28">
        <v>13578.51</v>
      </c>
      <c r="D10" s="29"/>
      <c r="E10" s="2" t="s">
        <v>23</v>
      </c>
      <c r="F10" s="3" t="s">
        <v>24</v>
      </c>
      <c r="G10" s="4" t="s">
        <v>25</v>
      </c>
      <c r="H10" s="4" t="s">
        <v>173</v>
      </c>
      <c r="I10" s="121"/>
      <c r="J10" s="5">
        <v>5800</v>
      </c>
      <c r="K10" s="33"/>
      <c r="L10" s="43"/>
      <c r="M10" s="50"/>
      <c r="N10" s="43">
        <v>-93.09</v>
      </c>
      <c r="O10" s="6"/>
      <c r="P10" s="41">
        <f>J10+N10+L10</f>
        <v>5706.91</v>
      </c>
      <c r="Q10" s="22"/>
    </row>
    <row r="11" spans="1:17">
      <c r="A11" s="86"/>
      <c r="B11" s="61">
        <f t="shared" si="0"/>
        <v>72783.47</v>
      </c>
      <c r="C11" s="28"/>
      <c r="D11" s="30">
        <v>-25216.82</v>
      </c>
      <c r="E11" s="19" t="s">
        <v>55</v>
      </c>
      <c r="F11" s="19" t="s">
        <v>54</v>
      </c>
      <c r="G11" s="20" t="s">
        <v>16</v>
      </c>
      <c r="H11" s="4" t="s">
        <v>174</v>
      </c>
      <c r="I11" s="122"/>
      <c r="J11" s="5"/>
      <c r="K11" s="9">
        <v>25216.82</v>
      </c>
      <c r="L11" s="43"/>
      <c r="M11" s="50"/>
      <c r="N11" s="43"/>
      <c r="O11" s="6"/>
      <c r="P11" s="41"/>
      <c r="Q11" s="22">
        <f>K11+M11</f>
        <v>25216.82</v>
      </c>
    </row>
    <row r="12" spans="1:17">
      <c r="A12" s="86"/>
      <c r="B12" s="61">
        <f t="shared" si="0"/>
        <v>47566.65</v>
      </c>
      <c r="C12" s="31">
        <v>11567</v>
      </c>
      <c r="D12" s="30"/>
      <c r="E12" s="2" t="s">
        <v>26</v>
      </c>
      <c r="F12" s="2" t="s">
        <v>27</v>
      </c>
      <c r="G12" s="4" t="s">
        <v>28</v>
      </c>
      <c r="H12" s="4" t="s">
        <v>174</v>
      </c>
      <c r="I12" s="121"/>
      <c r="J12" s="7"/>
      <c r="K12" s="8"/>
      <c r="L12" s="7">
        <v>11567</v>
      </c>
      <c r="M12" s="51"/>
      <c r="N12" s="44"/>
      <c r="O12" s="8"/>
      <c r="P12" s="41">
        <f>J12+N12+L12</f>
        <v>11567</v>
      </c>
      <c r="Q12" s="22"/>
    </row>
    <row r="13" spans="1:17">
      <c r="A13" s="86"/>
      <c r="B13" s="61">
        <f t="shared" si="0"/>
        <v>59133.65</v>
      </c>
      <c r="C13" s="31"/>
      <c r="D13" s="30">
        <v>-11567</v>
      </c>
      <c r="E13" s="19" t="s">
        <v>59</v>
      </c>
      <c r="F13" s="19" t="s">
        <v>58</v>
      </c>
      <c r="G13" s="23" t="s">
        <v>60</v>
      </c>
      <c r="H13" s="4" t="s">
        <v>174</v>
      </c>
      <c r="I13" s="122"/>
      <c r="J13" s="7"/>
      <c r="K13" s="8"/>
      <c r="L13" s="7"/>
      <c r="M13" s="52">
        <v>11567</v>
      </c>
      <c r="N13" s="44"/>
      <c r="O13" s="24"/>
      <c r="P13" s="41"/>
      <c r="Q13" s="22">
        <f>K13+M13</f>
        <v>11567</v>
      </c>
    </row>
    <row r="14" spans="1:17">
      <c r="A14" s="86"/>
      <c r="B14" s="61">
        <f t="shared" si="0"/>
        <v>47566.65</v>
      </c>
      <c r="C14" s="31"/>
      <c r="D14" s="30">
        <v>-679</v>
      </c>
      <c r="E14" s="19" t="s">
        <v>61</v>
      </c>
      <c r="F14" s="19" t="s">
        <v>33</v>
      </c>
      <c r="G14" s="23" t="s">
        <v>31</v>
      </c>
      <c r="H14" s="4" t="s">
        <v>174</v>
      </c>
      <c r="I14" s="122"/>
      <c r="J14" s="7"/>
      <c r="K14" s="8">
        <v>679</v>
      </c>
      <c r="L14" s="7"/>
      <c r="M14" s="52"/>
      <c r="N14" s="44"/>
      <c r="O14" s="24"/>
      <c r="P14" s="41"/>
      <c r="Q14" s="22">
        <f>K14+M14</f>
        <v>679</v>
      </c>
    </row>
    <row r="15" spans="1:17">
      <c r="A15" s="18"/>
      <c r="B15" s="61">
        <f t="shared" si="0"/>
        <v>46887.65</v>
      </c>
      <c r="C15" s="31"/>
      <c r="D15" s="30">
        <v>-679</v>
      </c>
      <c r="E15" s="19" t="s">
        <v>63</v>
      </c>
      <c r="F15" s="19" t="s">
        <v>62</v>
      </c>
      <c r="G15" s="23" t="s">
        <v>28</v>
      </c>
      <c r="H15" s="4" t="s">
        <v>174</v>
      </c>
      <c r="I15" s="122"/>
      <c r="J15" s="7"/>
      <c r="K15" s="8">
        <v>679</v>
      </c>
      <c r="L15" s="7"/>
      <c r="M15" s="52"/>
      <c r="N15" s="44"/>
      <c r="O15" s="24"/>
      <c r="P15" s="41"/>
      <c r="Q15" s="22">
        <f>K15+M15</f>
        <v>679</v>
      </c>
    </row>
    <row r="16" spans="1:17">
      <c r="A16" s="18"/>
      <c r="B16" s="61">
        <f t="shared" si="0"/>
        <v>46208.65</v>
      </c>
      <c r="C16" s="31">
        <v>55827</v>
      </c>
      <c r="D16" s="32"/>
      <c r="E16" s="2" t="s">
        <v>29</v>
      </c>
      <c r="F16" s="2" t="s">
        <v>30</v>
      </c>
      <c r="G16" s="4" t="s">
        <v>31</v>
      </c>
      <c r="H16" s="4" t="s">
        <v>174</v>
      </c>
      <c r="I16" s="121"/>
      <c r="J16" s="7"/>
      <c r="K16" s="8"/>
      <c r="L16" s="7">
        <v>55827</v>
      </c>
      <c r="M16" s="51"/>
      <c r="N16" s="44"/>
      <c r="O16" s="8"/>
      <c r="P16" s="41">
        <f>J16+N16+L16</f>
        <v>55827</v>
      </c>
      <c r="Q16" s="22"/>
    </row>
    <row r="17" spans="1:17">
      <c r="A17" s="18"/>
      <c r="B17" s="61">
        <f t="shared" si="0"/>
        <v>102035.65</v>
      </c>
      <c r="C17" s="31"/>
      <c r="D17" s="30">
        <v>-55827</v>
      </c>
      <c r="E17" s="19" t="s">
        <v>59</v>
      </c>
      <c r="F17" s="19" t="s">
        <v>64</v>
      </c>
      <c r="G17" s="23" t="s">
        <v>65</v>
      </c>
      <c r="H17" s="4" t="s">
        <v>174</v>
      </c>
      <c r="I17" s="122"/>
      <c r="J17" s="7"/>
      <c r="K17" s="8"/>
      <c r="L17" s="7"/>
      <c r="M17" s="52">
        <v>55827</v>
      </c>
      <c r="N17" s="44"/>
      <c r="O17" s="24"/>
      <c r="P17" s="41"/>
      <c r="Q17" s="22">
        <f>K17+M17</f>
        <v>55827</v>
      </c>
    </row>
    <row r="18" spans="1:17">
      <c r="A18" s="18"/>
      <c r="B18" s="61">
        <f t="shared" si="0"/>
        <v>46208.649999999994</v>
      </c>
      <c r="C18" s="31">
        <v>109</v>
      </c>
      <c r="D18" s="30"/>
      <c r="E18" s="2" t="s">
        <v>32</v>
      </c>
      <c r="F18" s="2" t="s">
        <v>33</v>
      </c>
      <c r="G18" s="4" t="s">
        <v>34</v>
      </c>
      <c r="H18" s="4" t="s">
        <v>174</v>
      </c>
      <c r="I18" s="121"/>
      <c r="J18" s="7">
        <v>109</v>
      </c>
      <c r="K18" s="8"/>
      <c r="L18" s="7"/>
      <c r="M18" s="51"/>
      <c r="N18" s="44"/>
      <c r="O18" s="8"/>
      <c r="P18" s="41">
        <f>J18+N18+L18</f>
        <v>109</v>
      </c>
      <c r="Q18" s="22"/>
    </row>
    <row r="19" spans="1:17">
      <c r="A19" s="18"/>
      <c r="B19" s="61">
        <f t="shared" si="0"/>
        <v>46317.649999999994</v>
      </c>
      <c r="C19" s="31">
        <v>15349.62</v>
      </c>
      <c r="D19" s="30"/>
      <c r="E19" s="2" t="s">
        <v>35</v>
      </c>
      <c r="F19" s="2" t="s">
        <v>36</v>
      </c>
      <c r="G19" s="4" t="s">
        <v>37</v>
      </c>
      <c r="H19" s="4" t="s">
        <v>173</v>
      </c>
      <c r="I19" s="121"/>
      <c r="J19" s="7">
        <v>15600</v>
      </c>
      <c r="K19" s="8"/>
      <c r="L19" s="7"/>
      <c r="M19" s="51"/>
      <c r="N19" s="44">
        <v>-250.38</v>
      </c>
      <c r="O19" s="8"/>
      <c r="P19" s="41">
        <f>J19+N19+L19</f>
        <v>15349.62</v>
      </c>
      <c r="Q19" s="22"/>
    </row>
    <row r="20" spans="1:17">
      <c r="A20" s="25">
        <v>244358</v>
      </c>
      <c r="B20" s="61">
        <f t="shared" si="0"/>
        <v>61667.27</v>
      </c>
      <c r="C20" s="31">
        <v>2900</v>
      </c>
      <c r="D20" s="30"/>
      <c r="E20" s="2" t="s">
        <v>35</v>
      </c>
      <c r="F20" s="2" t="s">
        <v>38</v>
      </c>
      <c r="G20" s="4" t="s">
        <v>39</v>
      </c>
      <c r="H20" s="4" t="s">
        <v>174</v>
      </c>
      <c r="I20" s="121"/>
      <c r="J20" s="7">
        <v>2900</v>
      </c>
      <c r="K20" s="8"/>
      <c r="L20" s="7"/>
      <c r="M20" s="51"/>
      <c r="N20" s="44"/>
      <c r="O20" s="8"/>
      <c r="P20" s="41">
        <f>J20+N20+L20</f>
        <v>2900</v>
      </c>
      <c r="Q20" s="22"/>
    </row>
    <row r="21" spans="1:17">
      <c r="A21" s="25">
        <v>244359</v>
      </c>
      <c r="B21" s="61">
        <f t="shared" si="0"/>
        <v>64567.27</v>
      </c>
      <c r="C21" s="31">
        <v>100000</v>
      </c>
      <c r="D21" s="30"/>
      <c r="E21" s="2" t="s">
        <v>29</v>
      </c>
      <c r="F21" s="2" t="s">
        <v>30</v>
      </c>
      <c r="G21" s="4" t="s">
        <v>40</v>
      </c>
      <c r="H21" s="4" t="s">
        <v>174</v>
      </c>
      <c r="I21" s="121"/>
      <c r="J21" s="7"/>
      <c r="K21" s="8"/>
      <c r="L21" s="7">
        <v>100000</v>
      </c>
      <c r="M21" s="51"/>
      <c r="N21" s="44"/>
      <c r="O21" s="8"/>
      <c r="P21" s="41">
        <f>J21+N21+L21</f>
        <v>100000</v>
      </c>
      <c r="Q21" s="22"/>
    </row>
    <row r="22" spans="1:17">
      <c r="A22" s="18"/>
      <c r="B22" s="61">
        <f t="shared" si="0"/>
        <v>164567.26999999999</v>
      </c>
      <c r="C22" s="31"/>
      <c r="D22" s="30">
        <v>-142491.12</v>
      </c>
      <c r="E22" s="19" t="s">
        <v>66</v>
      </c>
      <c r="F22" s="19" t="s">
        <v>90</v>
      </c>
      <c r="G22" s="23" t="s">
        <v>40</v>
      </c>
      <c r="H22" s="4" t="s">
        <v>174</v>
      </c>
      <c r="I22" s="122"/>
      <c r="J22" s="7"/>
      <c r="K22" s="9">
        <v>142491.12</v>
      </c>
      <c r="L22" s="7"/>
      <c r="M22" s="51"/>
      <c r="N22" s="44"/>
      <c r="O22" s="8"/>
      <c r="P22" s="41"/>
      <c r="Q22" s="22">
        <f>K22+M22</f>
        <v>142491.12</v>
      </c>
    </row>
    <row r="23" spans="1:17">
      <c r="A23" s="25">
        <v>244361</v>
      </c>
      <c r="B23" s="61">
        <f t="shared" si="0"/>
        <v>22076.149999999994</v>
      </c>
      <c r="C23" s="31">
        <v>2900</v>
      </c>
      <c r="D23" s="30"/>
      <c r="E23" s="2" t="s">
        <v>35</v>
      </c>
      <c r="F23" s="2" t="s">
        <v>41</v>
      </c>
      <c r="G23" s="4" t="s">
        <v>42</v>
      </c>
      <c r="H23" s="4" t="s">
        <v>174</v>
      </c>
      <c r="I23" s="121"/>
      <c r="J23" s="7">
        <v>2900</v>
      </c>
      <c r="K23" s="8"/>
      <c r="L23" s="7"/>
      <c r="M23" s="51"/>
      <c r="N23" s="44"/>
      <c r="O23" s="8"/>
      <c r="P23" s="41">
        <f>J23+N23+L23</f>
        <v>2900</v>
      </c>
      <c r="Q23" s="22"/>
    </row>
    <row r="24" spans="1:17">
      <c r="A24" s="25">
        <v>244362</v>
      </c>
      <c r="B24" s="61">
        <f t="shared" si="0"/>
        <v>24976.149999999994</v>
      </c>
      <c r="C24" s="31"/>
      <c r="D24" s="30">
        <v>-2100</v>
      </c>
      <c r="E24" s="19" t="s">
        <v>73</v>
      </c>
      <c r="F24" s="19" t="s">
        <v>72</v>
      </c>
      <c r="G24" s="23" t="s">
        <v>71</v>
      </c>
      <c r="H24" s="4" t="s">
        <v>174</v>
      </c>
      <c r="I24" s="122"/>
      <c r="J24" s="7"/>
      <c r="K24" s="9">
        <v>2100</v>
      </c>
      <c r="L24" s="7"/>
      <c r="M24" s="51"/>
      <c r="N24" s="44"/>
      <c r="O24" s="8"/>
      <c r="P24" s="41"/>
      <c r="Q24" s="22">
        <f>K24+M24</f>
        <v>2100</v>
      </c>
    </row>
    <row r="25" spans="1:17">
      <c r="A25" s="18"/>
      <c r="B25" s="61">
        <f t="shared" si="0"/>
        <v>22876.149999999994</v>
      </c>
      <c r="C25" s="31"/>
      <c r="D25" s="30">
        <v>-1768</v>
      </c>
      <c r="E25" s="19" t="s">
        <v>70</v>
      </c>
      <c r="F25" s="19" t="s">
        <v>62</v>
      </c>
      <c r="G25" s="23" t="s">
        <v>34</v>
      </c>
      <c r="H25" s="4" t="s">
        <v>174</v>
      </c>
      <c r="I25" s="122"/>
      <c r="J25" s="7"/>
      <c r="K25" s="24">
        <v>1768</v>
      </c>
      <c r="L25" s="7"/>
      <c r="M25" s="51"/>
      <c r="N25" s="44"/>
      <c r="O25" s="8"/>
      <c r="P25" s="41"/>
      <c r="Q25" s="22">
        <f>K25+M25</f>
        <v>1768</v>
      </c>
    </row>
    <row r="26" spans="1:17">
      <c r="A26" s="25"/>
      <c r="B26" s="61">
        <f t="shared" si="0"/>
        <v>21108.149999999994</v>
      </c>
      <c r="C26" s="31"/>
      <c r="D26" s="30">
        <v>-379</v>
      </c>
      <c r="E26" s="19" t="s">
        <v>69</v>
      </c>
      <c r="F26" s="19" t="s">
        <v>68</v>
      </c>
      <c r="G26" s="23" t="s">
        <v>67</v>
      </c>
      <c r="H26" s="4" t="s">
        <v>174</v>
      </c>
      <c r="I26" s="122"/>
      <c r="J26" s="7"/>
      <c r="K26" s="9">
        <v>379</v>
      </c>
      <c r="L26" s="7"/>
      <c r="M26" s="51"/>
      <c r="N26" s="44"/>
      <c r="O26" s="8"/>
      <c r="P26" s="41"/>
      <c r="Q26" s="22">
        <f>K26+M26</f>
        <v>379</v>
      </c>
    </row>
    <row r="27" spans="1:17">
      <c r="A27" s="25">
        <v>244365</v>
      </c>
      <c r="B27" s="61">
        <f t="shared" si="0"/>
        <v>20729.149999999994</v>
      </c>
      <c r="C27" s="31">
        <v>9838.51</v>
      </c>
      <c r="D27" s="30"/>
      <c r="E27" s="2" t="s">
        <v>11</v>
      </c>
      <c r="F27" s="3" t="s">
        <v>43</v>
      </c>
      <c r="G27" s="4" t="s">
        <v>44</v>
      </c>
      <c r="H27" s="4" t="s">
        <v>173</v>
      </c>
      <c r="I27" s="121"/>
      <c r="J27" s="5">
        <v>9999</v>
      </c>
      <c r="K27" s="33"/>
      <c r="L27" s="7"/>
      <c r="M27" s="51"/>
      <c r="N27" s="44">
        <v>-160.49</v>
      </c>
      <c r="O27" s="8"/>
      <c r="P27" s="41">
        <f>J27+N27+L27</f>
        <v>9838.51</v>
      </c>
      <c r="Q27" s="22"/>
    </row>
    <row r="28" spans="1:17">
      <c r="A28" s="25">
        <v>244366</v>
      </c>
      <c r="B28" s="61">
        <f t="shared" si="0"/>
        <v>30567.659999999996</v>
      </c>
      <c r="C28" s="31">
        <v>5700</v>
      </c>
      <c r="D28" s="30"/>
      <c r="E28" s="2" t="s">
        <v>23</v>
      </c>
      <c r="F28" s="3" t="s">
        <v>45</v>
      </c>
      <c r="G28" s="4" t="s">
        <v>46</v>
      </c>
      <c r="H28" s="4" t="s">
        <v>174</v>
      </c>
      <c r="I28" s="121"/>
      <c r="J28" s="5">
        <v>5700</v>
      </c>
      <c r="K28" s="33"/>
      <c r="L28" s="7"/>
      <c r="M28" s="51"/>
      <c r="N28" s="45"/>
      <c r="O28" s="8"/>
      <c r="P28" s="41">
        <f>J28+N28+L28</f>
        <v>5700</v>
      </c>
      <c r="Q28" s="22"/>
    </row>
    <row r="29" spans="1:17">
      <c r="A29" s="25">
        <v>244366</v>
      </c>
      <c r="B29" s="61">
        <f t="shared" si="0"/>
        <v>36267.659999999996</v>
      </c>
      <c r="C29" s="31">
        <v>5650</v>
      </c>
      <c r="D29" s="30"/>
      <c r="E29" s="2" t="s">
        <v>17</v>
      </c>
      <c r="F29" s="3" t="s">
        <v>47</v>
      </c>
      <c r="G29" s="4" t="s">
        <v>48</v>
      </c>
      <c r="H29" s="4" t="s">
        <v>174</v>
      </c>
      <c r="I29" s="121"/>
      <c r="J29" s="5">
        <v>5650</v>
      </c>
      <c r="K29" s="33"/>
      <c r="L29" s="10"/>
      <c r="M29" s="53"/>
      <c r="N29" s="46"/>
      <c r="O29" s="9"/>
      <c r="P29" s="41">
        <f>J29+N29+L29</f>
        <v>5650</v>
      </c>
      <c r="Q29" s="22"/>
    </row>
    <row r="30" spans="1:17">
      <c r="A30" s="25">
        <v>244366</v>
      </c>
      <c r="B30" s="61">
        <f t="shared" si="0"/>
        <v>41917.659999999996</v>
      </c>
      <c r="C30" s="31">
        <v>8000</v>
      </c>
      <c r="D30" s="30"/>
      <c r="E30" s="2" t="s">
        <v>20</v>
      </c>
      <c r="F30" s="3" t="s">
        <v>49</v>
      </c>
      <c r="G30" s="4" t="s">
        <v>50</v>
      </c>
      <c r="H30" s="4" t="s">
        <v>174</v>
      </c>
      <c r="I30" s="121"/>
      <c r="J30" s="10">
        <v>8000</v>
      </c>
      <c r="K30" s="9"/>
      <c r="L30" s="10"/>
      <c r="M30" s="53"/>
      <c r="N30" s="46"/>
      <c r="O30" s="9"/>
      <c r="P30" s="41">
        <f>J30+N30+L30</f>
        <v>8000</v>
      </c>
      <c r="Q30" s="22"/>
    </row>
    <row r="31" spans="1:17">
      <c r="A31" s="25">
        <v>244366</v>
      </c>
      <c r="B31" s="61">
        <f t="shared" si="0"/>
        <v>49917.659999999996</v>
      </c>
      <c r="C31" s="31">
        <v>23280</v>
      </c>
      <c r="D31" s="30"/>
      <c r="E31" s="2" t="s">
        <v>35</v>
      </c>
      <c r="F31" s="2" t="s">
        <v>36</v>
      </c>
      <c r="G31" s="4" t="s">
        <v>51</v>
      </c>
      <c r="H31" s="4" t="s">
        <v>174</v>
      </c>
      <c r="I31" s="121"/>
      <c r="J31" s="10">
        <v>23280</v>
      </c>
      <c r="K31" s="9"/>
      <c r="L31" s="10"/>
      <c r="M31" s="53"/>
      <c r="N31" s="46"/>
      <c r="O31" s="9"/>
      <c r="P31" s="41">
        <f>J31+N31+L31</f>
        <v>23280</v>
      </c>
      <c r="Q31" s="22"/>
    </row>
    <row r="32" spans="1:17">
      <c r="A32" s="25">
        <v>244371</v>
      </c>
      <c r="B32" s="61">
        <f t="shared" si="0"/>
        <v>73197.66</v>
      </c>
      <c r="C32" s="31"/>
      <c r="D32" s="30"/>
      <c r="E32" s="95" t="s">
        <v>175</v>
      </c>
      <c r="F32" s="87"/>
      <c r="G32" s="88"/>
      <c r="H32" s="88" t="s">
        <v>174</v>
      </c>
      <c r="I32" s="123">
        <v>2154.33</v>
      </c>
      <c r="J32" s="96"/>
      <c r="K32" s="97"/>
      <c r="L32" s="96"/>
      <c r="M32" s="98"/>
      <c r="N32" s="99"/>
      <c r="O32" s="97"/>
      <c r="P32" s="93"/>
      <c r="Q32" s="100"/>
    </row>
    <row r="33" spans="1:17">
      <c r="A33" s="18"/>
      <c r="B33" s="61">
        <f t="shared" si="0"/>
        <v>73197.66</v>
      </c>
      <c r="C33" s="31"/>
      <c r="D33" s="30">
        <v>-2283.33</v>
      </c>
      <c r="E33" s="95" t="s">
        <v>176</v>
      </c>
      <c r="F33" s="95" t="s">
        <v>62</v>
      </c>
      <c r="G33" s="101" t="s">
        <v>75</v>
      </c>
      <c r="H33" s="88" t="s">
        <v>174</v>
      </c>
      <c r="I33" s="125">
        <v>129</v>
      </c>
      <c r="J33" s="96"/>
      <c r="K33" s="97"/>
      <c r="L33" s="96"/>
      <c r="M33" s="98">
        <v>2283.33</v>
      </c>
      <c r="N33" s="99"/>
      <c r="O33" s="97"/>
      <c r="P33" s="93"/>
      <c r="Q33" s="100">
        <f>K33+M33</f>
        <v>2283.33</v>
      </c>
    </row>
    <row r="34" spans="1:17">
      <c r="A34" s="18"/>
      <c r="B34" s="61">
        <f t="shared" si="0"/>
        <v>70914.33</v>
      </c>
      <c r="C34" s="31"/>
      <c r="D34" s="30">
        <v>-683.73</v>
      </c>
      <c r="E34" s="19" t="s">
        <v>76</v>
      </c>
      <c r="F34" s="19" t="s">
        <v>77</v>
      </c>
      <c r="G34" s="23" t="s">
        <v>81</v>
      </c>
      <c r="H34" s="4" t="s">
        <v>174</v>
      </c>
      <c r="I34" s="122"/>
      <c r="J34" s="7"/>
      <c r="K34" s="8">
        <v>683.73</v>
      </c>
      <c r="L34" s="7"/>
      <c r="M34" s="51"/>
      <c r="N34" s="45"/>
      <c r="O34" s="8"/>
      <c r="P34" s="41"/>
      <c r="Q34" s="22">
        <f>K34+M34</f>
        <v>683.73</v>
      </c>
    </row>
    <row r="35" spans="1:17">
      <c r="A35" s="18"/>
      <c r="B35" s="61">
        <f t="shared" si="0"/>
        <v>70230.600000000006</v>
      </c>
      <c r="C35" s="31"/>
      <c r="D35" s="30">
        <v>-533.92999999999995</v>
      </c>
      <c r="E35" s="19" t="s">
        <v>78</v>
      </c>
      <c r="F35" s="19" t="s">
        <v>80</v>
      </c>
      <c r="G35" s="23"/>
      <c r="H35" s="4" t="s">
        <v>174</v>
      </c>
      <c r="I35" s="122"/>
      <c r="J35" s="7"/>
      <c r="K35" s="8"/>
      <c r="L35" s="7"/>
      <c r="M35" s="51"/>
      <c r="N35" s="45"/>
      <c r="O35" s="8"/>
      <c r="P35" s="41"/>
      <c r="Q35" s="22"/>
    </row>
    <row r="36" spans="1:17">
      <c r="A36" s="18" t="s">
        <v>74</v>
      </c>
      <c r="B36" s="61">
        <f t="shared" si="0"/>
        <v>69696.670000000013</v>
      </c>
      <c r="C36" s="31"/>
      <c r="D36" s="30">
        <v>-533.92999999999995</v>
      </c>
      <c r="E36" s="19" t="s">
        <v>79</v>
      </c>
      <c r="F36" s="19" t="s">
        <v>80</v>
      </c>
      <c r="G36" s="23" t="s">
        <v>82</v>
      </c>
      <c r="H36" s="4" t="s">
        <v>174</v>
      </c>
      <c r="I36" s="122"/>
      <c r="J36" s="10"/>
      <c r="K36" s="9">
        <v>1067.8599999999999</v>
      </c>
      <c r="L36" s="10"/>
      <c r="M36" s="53"/>
      <c r="N36" s="46"/>
      <c r="O36" s="9"/>
      <c r="P36" s="41"/>
      <c r="Q36" s="22">
        <f>K36+M36</f>
        <v>1067.8599999999999</v>
      </c>
    </row>
    <row r="37" spans="1:17">
      <c r="A37" s="18"/>
      <c r="B37" s="61">
        <f t="shared" si="0"/>
        <v>69162.74000000002</v>
      </c>
      <c r="C37" s="31"/>
      <c r="D37" s="30">
        <v>-1067</v>
      </c>
      <c r="E37" s="19" t="s">
        <v>83</v>
      </c>
      <c r="F37" s="19" t="s">
        <v>62</v>
      </c>
      <c r="G37" s="23" t="s">
        <v>84</v>
      </c>
      <c r="H37" s="4" t="s">
        <v>174</v>
      </c>
      <c r="I37" s="122"/>
      <c r="J37" s="7"/>
      <c r="K37" s="8">
        <v>1067</v>
      </c>
      <c r="L37" s="7"/>
      <c r="M37" s="51"/>
      <c r="N37" s="45"/>
      <c r="O37" s="8"/>
      <c r="P37" s="41"/>
      <c r="Q37" s="22">
        <f>K37+M37</f>
        <v>1067</v>
      </c>
    </row>
    <row r="38" spans="1:17">
      <c r="A38" s="18"/>
      <c r="B38" s="61">
        <f t="shared" si="0"/>
        <v>68095.74000000002</v>
      </c>
      <c r="C38" s="31"/>
      <c r="D38" s="30">
        <v>-2855</v>
      </c>
      <c r="E38" s="19" t="s">
        <v>85</v>
      </c>
      <c r="F38" s="19" t="s">
        <v>86</v>
      </c>
      <c r="G38" s="23" t="s">
        <v>87</v>
      </c>
      <c r="H38" s="4" t="s">
        <v>174</v>
      </c>
      <c r="I38" s="122"/>
      <c r="J38" s="7"/>
      <c r="K38" s="8">
        <v>2855</v>
      </c>
      <c r="L38" s="7"/>
      <c r="M38" s="51"/>
      <c r="N38" s="45"/>
      <c r="O38" s="8"/>
      <c r="P38" s="41"/>
      <c r="Q38" s="22">
        <f>K38+M38</f>
        <v>2855</v>
      </c>
    </row>
    <row r="39" spans="1:17">
      <c r="A39" s="18"/>
      <c r="B39" s="61">
        <f t="shared" si="0"/>
        <v>65240.74000000002</v>
      </c>
      <c r="C39" s="31"/>
      <c r="D39" s="30">
        <v>-14750</v>
      </c>
      <c r="E39" s="19" t="s">
        <v>162</v>
      </c>
      <c r="F39" s="19" t="s">
        <v>72</v>
      </c>
      <c r="G39" s="23" t="s">
        <v>88</v>
      </c>
      <c r="H39" s="4" t="s">
        <v>174</v>
      </c>
      <c r="I39" s="122"/>
      <c r="J39" s="7"/>
      <c r="K39" s="8">
        <v>5750</v>
      </c>
      <c r="L39" s="7"/>
      <c r="M39" s="51">
        <v>9000</v>
      </c>
      <c r="N39" s="45"/>
      <c r="O39" s="8"/>
      <c r="P39" s="41"/>
      <c r="Q39" s="22">
        <f>K39+M39</f>
        <v>14750</v>
      </c>
    </row>
    <row r="40" spans="1:17">
      <c r="A40" s="18"/>
      <c r="B40" s="61">
        <f t="shared" si="0"/>
        <v>50490.74000000002</v>
      </c>
      <c r="C40" s="31"/>
      <c r="D40" s="30">
        <v>-3402</v>
      </c>
      <c r="E40" s="19" t="s">
        <v>91</v>
      </c>
      <c r="F40" s="19" t="s">
        <v>92</v>
      </c>
      <c r="G40" s="23" t="s">
        <v>93</v>
      </c>
      <c r="H40" s="4" t="s">
        <v>174</v>
      </c>
      <c r="I40" s="122"/>
      <c r="J40" s="7"/>
      <c r="K40" s="8"/>
      <c r="L40" s="7"/>
      <c r="M40" s="51">
        <v>3466.8</v>
      </c>
      <c r="N40" s="45"/>
      <c r="O40" s="8">
        <v>-64.8</v>
      </c>
      <c r="P40" s="41"/>
      <c r="Q40" s="22">
        <f>K40+M40+O40</f>
        <v>3402</v>
      </c>
    </row>
    <row r="41" spans="1:17">
      <c r="A41" s="18"/>
      <c r="B41" s="61">
        <f t="shared" si="0"/>
        <v>47088.74000000002</v>
      </c>
      <c r="C41" s="31"/>
      <c r="D41" s="30">
        <v>-4850</v>
      </c>
      <c r="E41" s="19" t="s">
        <v>96</v>
      </c>
      <c r="F41" s="19" t="s">
        <v>97</v>
      </c>
      <c r="G41" s="23" t="s">
        <v>95</v>
      </c>
      <c r="H41" s="4" t="s">
        <v>174</v>
      </c>
      <c r="I41" s="122"/>
      <c r="J41" s="7"/>
      <c r="K41" s="8">
        <v>5000</v>
      </c>
      <c r="L41" s="7"/>
      <c r="M41" s="51"/>
      <c r="N41" s="45"/>
      <c r="O41" s="8">
        <v>-150</v>
      </c>
      <c r="P41" s="41"/>
      <c r="Q41" s="22">
        <f>K41+M41+O447+O41</f>
        <v>4850</v>
      </c>
    </row>
    <row r="42" spans="1:17">
      <c r="A42" s="18"/>
      <c r="B42" s="61">
        <f t="shared" si="0"/>
        <v>42238.74000000002</v>
      </c>
      <c r="C42" s="31">
        <v>9000</v>
      </c>
      <c r="D42" s="30"/>
      <c r="E42" s="11" t="s">
        <v>142</v>
      </c>
      <c r="F42" s="11" t="s">
        <v>27</v>
      </c>
      <c r="G42" s="23" t="s">
        <v>67</v>
      </c>
      <c r="H42" s="4" t="s">
        <v>174</v>
      </c>
      <c r="I42" s="122"/>
      <c r="J42" s="7">
        <v>9000</v>
      </c>
      <c r="K42" s="8"/>
      <c r="L42" s="12"/>
      <c r="M42" s="54"/>
      <c r="N42" s="47" t="s">
        <v>74</v>
      </c>
      <c r="O42" s="13"/>
      <c r="P42" s="41">
        <v>9000</v>
      </c>
      <c r="Q42" s="22"/>
    </row>
    <row r="43" spans="1:17">
      <c r="A43" s="25">
        <v>244372</v>
      </c>
      <c r="B43" s="61">
        <f t="shared" si="0"/>
        <v>51238.74000000002</v>
      </c>
      <c r="C43" s="31">
        <v>70000</v>
      </c>
      <c r="D43" s="30"/>
      <c r="E43" s="19"/>
      <c r="F43" s="19"/>
      <c r="G43" s="23"/>
      <c r="H43" s="4" t="s">
        <v>174</v>
      </c>
      <c r="I43" s="122"/>
      <c r="J43" s="7"/>
      <c r="K43" s="8"/>
      <c r="L43" s="12">
        <v>70000</v>
      </c>
      <c r="M43" s="54"/>
      <c r="N43" s="45"/>
      <c r="O43" s="8"/>
      <c r="P43" s="41">
        <f>J43+N43+L43+O43</f>
        <v>70000</v>
      </c>
      <c r="Q43" s="22"/>
    </row>
    <row r="44" spans="1:17">
      <c r="A44" s="18"/>
      <c r="B44" s="61">
        <f t="shared" si="0"/>
        <v>121238.74000000002</v>
      </c>
      <c r="C44" s="31"/>
      <c r="D44" s="30">
        <v>-116755</v>
      </c>
      <c r="E44" s="19" t="s">
        <v>66</v>
      </c>
      <c r="F44" s="19" t="s">
        <v>90</v>
      </c>
      <c r="G44" s="23" t="s">
        <v>89</v>
      </c>
      <c r="H44" s="4" t="s">
        <v>174</v>
      </c>
      <c r="I44" s="122"/>
      <c r="J44" s="7"/>
      <c r="K44" s="8">
        <v>116755</v>
      </c>
      <c r="L44" s="7"/>
      <c r="M44" s="51"/>
      <c r="N44" s="45"/>
      <c r="O44" s="8"/>
      <c r="P44" s="41"/>
      <c r="Q44" s="22">
        <f t="shared" ref="Q44:Q62" si="1">K44+M44+O44+P44</f>
        <v>116755</v>
      </c>
    </row>
    <row r="45" spans="1:17">
      <c r="A45" s="25">
        <v>244373</v>
      </c>
      <c r="B45" s="61">
        <f t="shared" si="0"/>
        <v>4483.7400000000198</v>
      </c>
      <c r="C45" s="116"/>
      <c r="D45" s="117"/>
      <c r="E45" s="87" t="s">
        <v>177</v>
      </c>
      <c r="F45" s="87" t="s">
        <v>152</v>
      </c>
      <c r="G45" s="88" t="s">
        <v>151</v>
      </c>
      <c r="H45" s="88" t="s">
        <v>174</v>
      </c>
      <c r="I45" s="123">
        <v>2900</v>
      </c>
      <c r="J45" s="89"/>
      <c r="K45" s="90"/>
      <c r="L45" s="89"/>
      <c r="M45" s="91"/>
      <c r="N45" s="94"/>
      <c r="O45" s="90"/>
      <c r="P45" s="93"/>
      <c r="Q45" s="22"/>
    </row>
    <row r="46" spans="1:17">
      <c r="A46" s="25"/>
      <c r="B46" s="61">
        <f>B44+C44+D44</f>
        <v>4483.7400000000198</v>
      </c>
      <c r="C46" s="116">
        <v>5800</v>
      </c>
      <c r="D46" s="117"/>
      <c r="E46" s="87" t="s">
        <v>177</v>
      </c>
      <c r="F46" s="87" t="s">
        <v>153</v>
      </c>
      <c r="G46" s="88" t="s">
        <v>151</v>
      </c>
      <c r="H46" s="88" t="s">
        <v>174</v>
      </c>
      <c r="I46" s="123">
        <v>2900</v>
      </c>
      <c r="J46" s="89">
        <v>5800</v>
      </c>
      <c r="K46" s="90"/>
      <c r="L46" s="89"/>
      <c r="M46" s="91"/>
      <c r="N46" s="94"/>
      <c r="O46" s="90"/>
      <c r="P46" s="93">
        <f t="shared" ref="P46:P62" si="2">J46+N46+L46+O46</f>
        <v>5800</v>
      </c>
      <c r="Q46" s="22"/>
    </row>
    <row r="47" spans="1:17">
      <c r="A47" s="18"/>
      <c r="B47" s="61">
        <f t="shared" ref="B47:B51" si="3">B46+C46+D46</f>
        <v>10283.74000000002</v>
      </c>
      <c r="C47" s="31">
        <v>8000</v>
      </c>
      <c r="D47" s="30"/>
      <c r="E47" s="2" t="s">
        <v>156</v>
      </c>
      <c r="F47" s="2" t="s">
        <v>157</v>
      </c>
      <c r="G47" s="4" t="s">
        <v>158</v>
      </c>
      <c r="H47" s="4" t="s">
        <v>174</v>
      </c>
      <c r="I47" s="121"/>
      <c r="J47" s="7">
        <v>8000</v>
      </c>
      <c r="K47" s="8"/>
      <c r="L47" s="7"/>
      <c r="M47" s="51"/>
      <c r="N47" s="45"/>
      <c r="O47" s="8"/>
      <c r="P47" s="41">
        <f t="shared" ref="P47:P51" si="4">J47+N47+L47+O47</f>
        <v>8000</v>
      </c>
      <c r="Q47" s="22"/>
    </row>
    <row r="48" spans="1:17">
      <c r="A48" s="18"/>
      <c r="B48" s="61">
        <f t="shared" si="3"/>
        <v>18283.74000000002</v>
      </c>
      <c r="C48" s="116"/>
      <c r="D48" s="117"/>
      <c r="E48" s="87" t="s">
        <v>177</v>
      </c>
      <c r="F48" s="87" t="s">
        <v>145</v>
      </c>
      <c r="G48" s="88" t="s">
        <v>146</v>
      </c>
      <c r="H48" s="88" t="s">
        <v>173</v>
      </c>
      <c r="I48" s="123">
        <v>5650</v>
      </c>
      <c r="J48" s="89"/>
      <c r="K48" s="90"/>
      <c r="L48" s="89"/>
      <c r="M48" s="91"/>
      <c r="N48" s="92"/>
      <c r="O48" s="90"/>
      <c r="P48" s="93"/>
      <c r="Q48" s="22"/>
    </row>
    <row r="49" spans="1:17">
      <c r="A49" s="18"/>
      <c r="B49" s="61">
        <f t="shared" si="3"/>
        <v>18283.74000000002</v>
      </c>
      <c r="C49" s="116"/>
      <c r="D49" s="117"/>
      <c r="E49" s="87" t="s">
        <v>177</v>
      </c>
      <c r="F49" s="87" t="s">
        <v>148</v>
      </c>
      <c r="G49" s="88" t="s">
        <v>147</v>
      </c>
      <c r="H49" s="88" t="s">
        <v>173</v>
      </c>
      <c r="I49" s="123">
        <v>11250</v>
      </c>
      <c r="J49" s="89"/>
      <c r="K49" s="90"/>
      <c r="L49" s="89"/>
      <c r="M49" s="91"/>
      <c r="N49" s="94"/>
      <c r="O49" s="90"/>
      <c r="P49" s="93"/>
      <c r="Q49" s="22"/>
    </row>
    <row r="50" spans="1:17">
      <c r="A50" s="18"/>
      <c r="B50" s="61">
        <f t="shared" si="3"/>
        <v>18283.74000000002</v>
      </c>
      <c r="C50" s="116">
        <v>22188.07</v>
      </c>
      <c r="D50" s="117"/>
      <c r="E50" s="87" t="s">
        <v>177</v>
      </c>
      <c r="F50" s="87" t="s">
        <v>150</v>
      </c>
      <c r="G50" s="88" t="s">
        <v>149</v>
      </c>
      <c r="H50" s="88" t="s">
        <v>173</v>
      </c>
      <c r="I50" s="123">
        <v>5650</v>
      </c>
      <c r="J50" s="89">
        <v>22550</v>
      </c>
      <c r="K50" s="90"/>
      <c r="L50" s="89"/>
      <c r="M50" s="91"/>
      <c r="N50" s="92">
        <v>-361.93</v>
      </c>
      <c r="O50" s="90"/>
      <c r="P50" s="93">
        <f t="shared" si="4"/>
        <v>22188.07</v>
      </c>
      <c r="Q50" s="22"/>
    </row>
    <row r="51" spans="1:17">
      <c r="A51" s="25">
        <v>244374</v>
      </c>
      <c r="B51" s="61">
        <f t="shared" si="3"/>
        <v>40471.810000000019</v>
      </c>
      <c r="C51" s="118"/>
      <c r="D51" s="119"/>
      <c r="E51" s="102" t="s">
        <v>177</v>
      </c>
      <c r="F51" s="102" t="s">
        <v>154</v>
      </c>
      <c r="G51" s="104" t="s">
        <v>155</v>
      </c>
      <c r="H51" s="104" t="s">
        <v>173</v>
      </c>
      <c r="I51" s="124">
        <v>2900</v>
      </c>
      <c r="J51" s="107"/>
      <c r="K51" s="106"/>
      <c r="L51" s="107"/>
      <c r="M51" s="108"/>
      <c r="N51" s="109"/>
      <c r="O51" s="106"/>
      <c r="P51" s="110">
        <f t="shared" si="4"/>
        <v>0</v>
      </c>
      <c r="Q51" s="22"/>
    </row>
    <row r="52" spans="1:17">
      <c r="A52" s="111"/>
      <c r="B52" s="61">
        <f t="shared" ref="B52:B65" si="5">B51+C51+D51</f>
        <v>40471.810000000019</v>
      </c>
      <c r="C52" s="118"/>
      <c r="D52" s="119"/>
      <c r="E52" s="102" t="s">
        <v>178</v>
      </c>
      <c r="F52" s="103" t="s">
        <v>163</v>
      </c>
      <c r="G52" s="104" t="s">
        <v>164</v>
      </c>
      <c r="H52" s="104" t="s">
        <v>173</v>
      </c>
      <c r="I52" s="124">
        <v>10789</v>
      </c>
      <c r="J52" s="105"/>
      <c r="K52" s="106"/>
      <c r="L52" s="107"/>
      <c r="M52" s="108"/>
      <c r="N52" s="109"/>
      <c r="O52" s="106"/>
      <c r="P52" s="110">
        <f t="shared" ref="P52:P56" si="6">J52+N52+L52+O52</f>
        <v>0</v>
      </c>
      <c r="Q52" s="22"/>
    </row>
    <row r="53" spans="1:17">
      <c r="A53" s="18"/>
      <c r="B53" s="61">
        <f t="shared" si="5"/>
        <v>40471.810000000019</v>
      </c>
      <c r="C53" s="118"/>
      <c r="D53" s="119"/>
      <c r="E53" s="102" t="s">
        <v>179</v>
      </c>
      <c r="F53" s="103" t="s">
        <v>21</v>
      </c>
      <c r="G53" s="104" t="s">
        <v>159</v>
      </c>
      <c r="H53" s="104" t="s">
        <v>173</v>
      </c>
      <c r="I53" s="124">
        <v>7800</v>
      </c>
      <c r="J53" s="105"/>
      <c r="K53" s="106"/>
      <c r="L53" s="107"/>
      <c r="M53" s="108"/>
      <c r="N53" s="109"/>
      <c r="O53" s="106"/>
      <c r="P53" s="110">
        <f t="shared" si="6"/>
        <v>0</v>
      </c>
      <c r="Q53" s="22"/>
    </row>
    <row r="54" spans="1:17">
      <c r="A54" s="18"/>
      <c r="B54" s="61">
        <f t="shared" si="5"/>
        <v>40471.810000000019</v>
      </c>
      <c r="C54" s="118"/>
      <c r="D54" s="119"/>
      <c r="E54" s="102" t="s">
        <v>177</v>
      </c>
      <c r="F54" s="103" t="s">
        <v>165</v>
      </c>
      <c r="G54" s="104" t="s">
        <v>160</v>
      </c>
      <c r="H54" s="104" t="s">
        <v>173</v>
      </c>
      <c r="I54" s="124">
        <v>2900</v>
      </c>
      <c r="J54" s="107"/>
      <c r="K54" s="106"/>
      <c r="L54" s="107"/>
      <c r="M54" s="108"/>
      <c r="N54" s="109"/>
      <c r="O54" s="106"/>
      <c r="P54" s="110">
        <f t="shared" si="6"/>
        <v>0</v>
      </c>
      <c r="Q54" s="22"/>
    </row>
    <row r="55" spans="1:17">
      <c r="A55" s="18"/>
      <c r="B55" s="61">
        <f t="shared" si="5"/>
        <v>40471.810000000019</v>
      </c>
      <c r="C55" s="118"/>
      <c r="D55" s="119"/>
      <c r="E55" s="102" t="s">
        <v>177</v>
      </c>
      <c r="F55" s="103" t="s">
        <v>166</v>
      </c>
      <c r="G55" s="104" t="s">
        <v>160</v>
      </c>
      <c r="H55" s="104" t="s">
        <v>173</v>
      </c>
      <c r="I55" s="124">
        <v>2900</v>
      </c>
      <c r="J55" s="107"/>
      <c r="K55" s="106"/>
      <c r="L55" s="107"/>
      <c r="M55" s="108"/>
      <c r="N55" s="109"/>
      <c r="O55" s="106"/>
      <c r="P55" s="110">
        <f t="shared" si="6"/>
        <v>0</v>
      </c>
      <c r="Q55" s="22"/>
    </row>
    <row r="56" spans="1:17">
      <c r="A56" s="18"/>
      <c r="B56" s="61">
        <f t="shared" si="5"/>
        <v>40471.810000000019</v>
      </c>
      <c r="C56" s="118">
        <v>29704.46</v>
      </c>
      <c r="D56" s="119"/>
      <c r="E56" s="102" t="s">
        <v>177</v>
      </c>
      <c r="F56" s="103" t="s">
        <v>167</v>
      </c>
      <c r="G56" s="104" t="s">
        <v>161</v>
      </c>
      <c r="H56" s="104" t="s">
        <v>173</v>
      </c>
      <c r="I56" s="124">
        <v>2900</v>
      </c>
      <c r="J56" s="107">
        <v>30189</v>
      </c>
      <c r="K56" s="106"/>
      <c r="L56" s="107"/>
      <c r="M56" s="108"/>
      <c r="N56" s="109">
        <v>-484.54</v>
      </c>
      <c r="O56" s="106"/>
      <c r="P56" s="110">
        <f t="shared" si="6"/>
        <v>29704.46</v>
      </c>
      <c r="Q56" s="22"/>
    </row>
    <row r="57" spans="1:17">
      <c r="A57" s="25">
        <v>244378</v>
      </c>
      <c r="B57" s="61">
        <f t="shared" si="5"/>
        <v>70176.270000000019</v>
      </c>
      <c r="C57" s="31"/>
      <c r="D57" s="30"/>
      <c r="E57" s="19" t="s">
        <v>168</v>
      </c>
      <c r="F57" s="120" t="s">
        <v>15</v>
      </c>
      <c r="G57" s="23" t="s">
        <v>93</v>
      </c>
      <c r="H57" s="4" t="s">
        <v>174</v>
      </c>
      <c r="I57" s="122"/>
      <c r="J57" s="7"/>
      <c r="K57" s="8"/>
      <c r="L57" s="7"/>
      <c r="M57" s="51">
        <v>2804</v>
      </c>
      <c r="N57" s="44"/>
      <c r="O57" s="8"/>
      <c r="P57" s="41"/>
      <c r="Q57" s="22">
        <f>K57+M57+O57</f>
        <v>2804</v>
      </c>
    </row>
    <row r="58" spans="1:17">
      <c r="A58" s="18"/>
      <c r="B58" s="61">
        <f t="shared" si="5"/>
        <v>70176.270000000019</v>
      </c>
      <c r="C58" s="31"/>
      <c r="D58" s="30"/>
      <c r="E58" s="19" t="s">
        <v>169</v>
      </c>
      <c r="F58" s="19" t="s">
        <v>54</v>
      </c>
      <c r="G58" s="23" t="s">
        <v>95</v>
      </c>
      <c r="H58" s="4" t="s">
        <v>174</v>
      </c>
      <c r="I58" s="122"/>
      <c r="J58" s="7"/>
      <c r="K58" s="8">
        <v>31350</v>
      </c>
      <c r="L58" s="7"/>
      <c r="M58" s="51"/>
      <c r="N58" s="45"/>
      <c r="O58" s="8">
        <v>-379.07</v>
      </c>
      <c r="P58" s="41"/>
      <c r="Q58" s="22">
        <f>K58+M58+O58+P58</f>
        <v>30970.93</v>
      </c>
    </row>
    <row r="59" spans="1:17">
      <c r="A59" s="18"/>
      <c r="B59" s="61">
        <f t="shared" si="5"/>
        <v>70176.270000000019</v>
      </c>
      <c r="C59" s="31"/>
      <c r="D59" s="30"/>
      <c r="E59" s="19" t="s">
        <v>83</v>
      </c>
      <c r="F59" s="19" t="s">
        <v>62</v>
      </c>
      <c r="G59" s="23" t="s">
        <v>170</v>
      </c>
      <c r="H59" s="4" t="s">
        <v>174</v>
      </c>
      <c r="I59" s="122"/>
      <c r="J59" s="7"/>
      <c r="K59" s="8">
        <v>501</v>
      </c>
      <c r="L59" s="7"/>
      <c r="M59" s="51"/>
      <c r="N59" s="45"/>
      <c r="O59" s="8"/>
      <c r="P59" s="41"/>
      <c r="Q59" s="22">
        <f t="shared" si="1"/>
        <v>501</v>
      </c>
    </row>
    <row r="60" spans="1:17">
      <c r="A60" s="25">
        <v>244380</v>
      </c>
      <c r="B60" s="61">
        <f t="shared" si="5"/>
        <v>70176.270000000019</v>
      </c>
      <c r="C60" s="31"/>
      <c r="D60" s="30"/>
      <c r="E60" s="11"/>
      <c r="F60" s="2"/>
      <c r="G60" s="4"/>
      <c r="H60" s="4"/>
      <c r="I60" s="121"/>
      <c r="J60" s="7"/>
      <c r="K60" s="8"/>
      <c r="L60" s="7"/>
      <c r="M60" s="51"/>
      <c r="N60" s="45"/>
      <c r="O60" s="8"/>
      <c r="P60" s="41">
        <f t="shared" si="2"/>
        <v>0</v>
      </c>
      <c r="Q60" s="22">
        <f t="shared" si="1"/>
        <v>0</v>
      </c>
    </row>
    <row r="61" spans="1:17">
      <c r="A61" s="18"/>
      <c r="B61" s="61">
        <f t="shared" si="5"/>
        <v>70176.270000000019</v>
      </c>
      <c r="C61" s="31"/>
      <c r="D61" s="30"/>
      <c r="E61" s="11"/>
      <c r="F61" s="2"/>
      <c r="G61" s="4"/>
      <c r="H61" s="4"/>
      <c r="I61" s="121"/>
      <c r="J61" s="7"/>
      <c r="K61" s="8"/>
      <c r="L61" s="7"/>
      <c r="M61" s="51"/>
      <c r="N61" s="45"/>
      <c r="O61" s="8"/>
      <c r="P61" s="41">
        <f t="shared" si="2"/>
        <v>0</v>
      </c>
      <c r="Q61" s="22">
        <f t="shared" si="1"/>
        <v>0</v>
      </c>
    </row>
    <row r="62" spans="1:17">
      <c r="A62" s="18"/>
      <c r="B62" s="61">
        <f t="shared" si="5"/>
        <v>70176.270000000019</v>
      </c>
      <c r="C62" s="31"/>
      <c r="D62" s="30"/>
      <c r="E62" s="11"/>
      <c r="F62" s="2"/>
      <c r="G62" s="4"/>
      <c r="H62" s="4"/>
      <c r="I62" s="121"/>
      <c r="J62" s="7"/>
      <c r="K62" s="8"/>
      <c r="L62" s="7"/>
      <c r="M62" s="51"/>
      <c r="N62" s="45"/>
      <c r="O62" s="8"/>
      <c r="P62" s="41">
        <f t="shared" si="2"/>
        <v>0</v>
      </c>
      <c r="Q62" s="22">
        <f t="shared" si="1"/>
        <v>0</v>
      </c>
    </row>
    <row r="63" spans="1:17">
      <c r="A63" s="18"/>
      <c r="B63" s="61">
        <f t="shared" si="5"/>
        <v>70176.270000000019</v>
      </c>
      <c r="C63" s="31"/>
      <c r="D63" s="30"/>
      <c r="E63" s="2"/>
      <c r="F63" s="2"/>
      <c r="G63" s="4"/>
      <c r="H63" s="4"/>
      <c r="I63" s="121"/>
      <c r="J63" s="10"/>
      <c r="K63" s="9"/>
      <c r="L63" s="10"/>
      <c r="M63" s="53"/>
      <c r="N63" s="46"/>
      <c r="O63" s="9"/>
      <c r="P63" s="41">
        <f t="shared" ref="P63:P65" si="7">J63+N63+L63+O63</f>
        <v>0</v>
      </c>
      <c r="Q63" s="22">
        <f t="shared" ref="Q63:Q65" si="8">K63+M63+O63+P63</f>
        <v>0</v>
      </c>
    </row>
    <row r="64" spans="1:17">
      <c r="A64" s="18"/>
      <c r="B64" s="61">
        <f t="shared" si="5"/>
        <v>70176.270000000019</v>
      </c>
      <c r="C64" s="31"/>
      <c r="D64" s="30"/>
      <c r="E64" s="2"/>
      <c r="F64" s="2"/>
      <c r="G64" s="4"/>
      <c r="H64" s="4"/>
      <c r="I64" s="121"/>
      <c r="J64" s="10"/>
      <c r="K64" s="9"/>
      <c r="L64" s="10"/>
      <c r="M64" s="53"/>
      <c r="N64" s="46"/>
      <c r="O64" s="9"/>
      <c r="P64" s="41">
        <f t="shared" si="7"/>
        <v>0</v>
      </c>
      <c r="Q64" s="22">
        <f t="shared" si="8"/>
        <v>0</v>
      </c>
    </row>
    <row r="65" spans="1:17">
      <c r="A65" s="34"/>
      <c r="B65" s="61">
        <f t="shared" si="5"/>
        <v>70176.270000000019</v>
      </c>
      <c r="C65" s="31"/>
      <c r="D65" s="30"/>
      <c r="E65" s="11"/>
      <c r="F65" s="2"/>
      <c r="G65" s="4"/>
      <c r="H65" s="4"/>
      <c r="I65" s="121"/>
      <c r="J65" s="14"/>
      <c r="K65" s="15"/>
      <c r="L65" s="14"/>
      <c r="M65" s="55"/>
      <c r="N65" s="48"/>
      <c r="O65" s="9"/>
      <c r="P65" s="41">
        <f t="shared" si="7"/>
        <v>0</v>
      </c>
      <c r="Q65" s="22">
        <f t="shared" si="8"/>
        <v>0</v>
      </c>
    </row>
    <row r="66" spans="1:17">
      <c r="A66" s="38"/>
      <c r="B66" s="153">
        <f>B65</f>
        <v>70176.270000000019</v>
      </c>
      <c r="C66" s="151">
        <f>SUM(C6:C65)</f>
        <v>440810.53</v>
      </c>
      <c r="D66" s="147">
        <f>SUM(D11:D65)</f>
        <v>-388420.86</v>
      </c>
      <c r="E66" s="35"/>
      <c r="F66" s="35"/>
      <c r="G66" s="37"/>
      <c r="H66" s="37"/>
      <c r="I66" s="37"/>
      <c r="J66" s="17">
        <f t="shared" ref="J66:Q66" si="9">SUM(J6:J65)</f>
        <v>205165</v>
      </c>
      <c r="K66" s="16">
        <f t="shared" si="9"/>
        <v>338342.53</v>
      </c>
      <c r="L66" s="17">
        <f t="shared" si="9"/>
        <v>237394</v>
      </c>
      <c r="M66" s="40">
        <f t="shared" si="9"/>
        <v>84948.13</v>
      </c>
      <c r="N66" s="155">
        <f t="shared" si="9"/>
        <v>-1748.47</v>
      </c>
      <c r="O66" s="149">
        <f t="shared" si="9"/>
        <v>-593.87</v>
      </c>
      <c r="P66" s="139">
        <f t="shared" si="9"/>
        <v>440810.53</v>
      </c>
      <c r="Q66" s="130">
        <f t="shared" si="9"/>
        <v>422696.79</v>
      </c>
    </row>
    <row r="67" spans="1:17" ht="15.75" thickBot="1">
      <c r="A67" s="26"/>
      <c r="B67" s="154"/>
      <c r="C67" s="152"/>
      <c r="D67" s="148"/>
      <c r="E67" s="36"/>
      <c r="F67" s="36"/>
      <c r="G67" s="39"/>
      <c r="H67" s="39"/>
      <c r="I67" s="39"/>
      <c r="J67" s="141">
        <f>(J66+N66)-K66</f>
        <v>-134926.00000000003</v>
      </c>
      <c r="K67" s="142"/>
      <c r="L67" s="141">
        <f>L66-M66</f>
        <v>152445.87</v>
      </c>
      <c r="M67" s="143"/>
      <c r="N67" s="156"/>
      <c r="O67" s="150"/>
      <c r="P67" s="140"/>
      <c r="Q67" s="131"/>
    </row>
    <row r="68" spans="1:17" ht="15.75" thickTop="1"/>
  </sheetData>
  <mergeCells count="24">
    <mergeCell ref="O66:O67"/>
    <mergeCell ref="C3:C4"/>
    <mergeCell ref="C66:C67"/>
    <mergeCell ref="B3:B4"/>
    <mergeCell ref="B66:B67"/>
    <mergeCell ref="N66:N67"/>
    <mergeCell ref="H3:H4"/>
    <mergeCell ref="I3:I4"/>
    <mergeCell ref="A3:A4"/>
    <mergeCell ref="Q3:Q4"/>
    <mergeCell ref="Q66:Q67"/>
    <mergeCell ref="F3:F4"/>
    <mergeCell ref="G3:G4"/>
    <mergeCell ref="J3:K3"/>
    <mergeCell ref="L3:M3"/>
    <mergeCell ref="P3:P4"/>
    <mergeCell ref="P66:P67"/>
    <mergeCell ref="J67:K67"/>
    <mergeCell ref="L67:M67"/>
    <mergeCell ref="N3:N4"/>
    <mergeCell ref="O3:O4"/>
    <mergeCell ref="E3:E4"/>
    <mergeCell ref="D3:D4"/>
    <mergeCell ref="D66:D67"/>
  </mergeCells>
  <phoneticPr fontId="4" type="noConversion"/>
  <pageMargins left="0.25" right="0.25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FD3D1-C071-40A0-82AE-135340E16465}">
  <dimension ref="A1:E41"/>
  <sheetViews>
    <sheetView topLeftCell="A13" workbookViewId="0">
      <selection activeCell="B36" sqref="B36"/>
    </sheetView>
  </sheetViews>
  <sheetFormatPr defaultRowHeight="15"/>
  <cols>
    <col min="1" max="1" width="5.28515625" customWidth="1"/>
    <col min="2" max="2" width="7.7109375" customWidth="1"/>
    <col min="3" max="3" width="9.7109375" customWidth="1"/>
    <col min="4" max="4" width="10.28515625" customWidth="1"/>
    <col min="5" max="5" width="12.28515625" customWidth="1"/>
  </cols>
  <sheetData>
    <row r="1" spans="1:5" ht="15.75" thickTop="1">
      <c r="A1" s="171" t="s">
        <v>99</v>
      </c>
      <c r="B1" s="172"/>
      <c r="C1" s="172"/>
      <c r="D1" s="167" t="s">
        <v>141</v>
      </c>
      <c r="E1" s="168"/>
    </row>
    <row r="2" spans="1:5" ht="15.75" thickBot="1">
      <c r="A2" s="173"/>
      <c r="B2" s="174"/>
      <c r="C2" s="174"/>
      <c r="D2" s="169"/>
      <c r="E2" s="170"/>
    </row>
    <row r="3" spans="1:5" ht="16.5" thickTop="1" thickBot="1">
      <c r="A3" s="175" t="s">
        <v>100</v>
      </c>
      <c r="B3" s="176"/>
      <c r="C3" s="177">
        <v>40723.18</v>
      </c>
      <c r="D3" s="178"/>
      <c r="E3" s="179" t="s">
        <v>101</v>
      </c>
    </row>
    <row r="4" spans="1:5" ht="16.5" thickTop="1" thickBot="1">
      <c r="A4" s="175"/>
      <c r="B4" s="176"/>
      <c r="C4" s="177"/>
      <c r="D4" s="178"/>
      <c r="E4" s="179"/>
    </row>
    <row r="5" spans="1:5" ht="16.5" thickTop="1" thickBot="1">
      <c r="A5" s="63" t="s">
        <v>102</v>
      </c>
      <c r="B5" s="64" t="s">
        <v>103</v>
      </c>
      <c r="C5" s="64" t="s">
        <v>104</v>
      </c>
      <c r="D5" s="64" t="s">
        <v>105</v>
      </c>
      <c r="E5" s="64" t="s">
        <v>106</v>
      </c>
    </row>
    <row r="6" spans="1:5" ht="15.75" thickTop="1">
      <c r="A6" s="65" t="s">
        <v>107</v>
      </c>
      <c r="B6" s="66">
        <f>C3</f>
        <v>40723.18</v>
      </c>
      <c r="C6" s="67"/>
      <c r="D6" s="68"/>
      <c r="E6" s="69">
        <f t="shared" ref="E6:E36" si="0">C6+D6</f>
        <v>0</v>
      </c>
    </row>
    <row r="7" spans="1:5">
      <c r="A7" s="70" t="s">
        <v>108</v>
      </c>
      <c r="B7" s="71">
        <f>B6+C6+D6</f>
        <v>40723.18</v>
      </c>
      <c r="C7" s="72"/>
      <c r="D7" s="73"/>
      <c r="E7" s="74">
        <f t="shared" si="0"/>
        <v>0</v>
      </c>
    </row>
    <row r="8" spans="1:5">
      <c r="A8" s="70" t="s">
        <v>109</v>
      </c>
      <c r="B8" s="71">
        <f t="shared" ref="B8:B36" si="1">B7+C7+D7</f>
        <v>40723.18</v>
      </c>
      <c r="C8" s="72">
        <v>86.4</v>
      </c>
      <c r="D8" s="73">
        <v>-2362.5300000000002</v>
      </c>
      <c r="E8" s="73">
        <f t="shared" si="0"/>
        <v>-2276.13</v>
      </c>
    </row>
    <row r="9" spans="1:5">
      <c r="A9" s="70" t="s">
        <v>110</v>
      </c>
      <c r="B9" s="71">
        <f t="shared" si="1"/>
        <v>38447.050000000003</v>
      </c>
      <c r="C9" s="72">
        <v>10230.36</v>
      </c>
      <c r="D9" s="73"/>
      <c r="E9" s="74">
        <f t="shared" si="0"/>
        <v>10230.36</v>
      </c>
    </row>
    <row r="10" spans="1:5">
      <c r="A10" s="70" t="s">
        <v>111</v>
      </c>
      <c r="B10" s="71">
        <f t="shared" si="1"/>
        <v>48677.41</v>
      </c>
      <c r="C10" s="72">
        <v>11057.4</v>
      </c>
      <c r="D10" s="73">
        <v>-5000</v>
      </c>
      <c r="E10" s="72">
        <f t="shared" si="0"/>
        <v>6057.4</v>
      </c>
    </row>
    <row r="11" spans="1:5">
      <c r="A11" s="70" t="s">
        <v>112</v>
      </c>
      <c r="B11" s="71">
        <f t="shared" si="1"/>
        <v>54734.810000000005</v>
      </c>
      <c r="C11" s="72"/>
      <c r="D11" s="73">
        <v>-11567</v>
      </c>
      <c r="E11" s="72">
        <f t="shared" si="0"/>
        <v>-11567</v>
      </c>
    </row>
    <row r="12" spans="1:5">
      <c r="A12" s="70" t="s">
        <v>113</v>
      </c>
      <c r="B12" s="71">
        <f t="shared" si="1"/>
        <v>43167.810000000005</v>
      </c>
      <c r="C12" s="74"/>
      <c r="D12" s="73"/>
      <c r="E12" s="74">
        <f t="shared" si="0"/>
        <v>0</v>
      </c>
    </row>
    <row r="13" spans="1:5">
      <c r="A13" s="70" t="s">
        <v>114</v>
      </c>
      <c r="B13" s="71">
        <f t="shared" si="1"/>
        <v>43167.810000000005</v>
      </c>
      <c r="C13" s="72"/>
      <c r="D13" s="73">
        <v>-13064.21</v>
      </c>
      <c r="E13" s="73">
        <f t="shared" si="0"/>
        <v>-13064.21</v>
      </c>
    </row>
    <row r="14" spans="1:5">
      <c r="A14" s="70" t="s">
        <v>115</v>
      </c>
      <c r="B14" s="71">
        <f t="shared" si="1"/>
        <v>30103.600000000006</v>
      </c>
      <c r="C14" s="72"/>
      <c r="D14" s="73"/>
      <c r="E14" s="73">
        <f t="shared" si="0"/>
        <v>0</v>
      </c>
    </row>
    <row r="15" spans="1:5">
      <c r="A15" s="70" t="s">
        <v>116</v>
      </c>
      <c r="B15" s="71">
        <f t="shared" si="1"/>
        <v>30103.600000000006</v>
      </c>
      <c r="C15" s="74">
        <v>20640.48</v>
      </c>
      <c r="D15" s="73"/>
      <c r="E15" s="74">
        <f t="shared" si="0"/>
        <v>20640.48</v>
      </c>
    </row>
    <row r="16" spans="1:5">
      <c r="A16" s="70" t="s">
        <v>117</v>
      </c>
      <c r="B16" s="71">
        <f t="shared" si="1"/>
        <v>50744.08</v>
      </c>
      <c r="C16" s="74">
        <v>6722.81</v>
      </c>
      <c r="D16" s="73"/>
      <c r="E16" s="74">
        <f t="shared" si="0"/>
        <v>6722.81</v>
      </c>
    </row>
    <row r="17" spans="1:5">
      <c r="A17" s="70" t="s">
        <v>118</v>
      </c>
      <c r="B17" s="71">
        <f t="shared" si="1"/>
        <v>57466.89</v>
      </c>
      <c r="C17" s="72"/>
      <c r="D17" s="73"/>
      <c r="E17" s="73">
        <f t="shared" si="0"/>
        <v>0</v>
      </c>
    </row>
    <row r="18" spans="1:5">
      <c r="A18" s="70" t="s">
        <v>119</v>
      </c>
      <c r="B18" s="71">
        <f t="shared" si="1"/>
        <v>57466.89</v>
      </c>
      <c r="C18" s="72"/>
      <c r="D18" s="73"/>
      <c r="E18" s="74">
        <f t="shared" si="0"/>
        <v>0</v>
      </c>
    </row>
    <row r="19" spans="1:5">
      <c r="A19" s="70" t="s">
        <v>120</v>
      </c>
      <c r="B19" s="71">
        <f t="shared" si="1"/>
        <v>57466.89</v>
      </c>
      <c r="C19" s="72"/>
      <c r="D19" s="73"/>
      <c r="E19" s="74">
        <f t="shared" si="0"/>
        <v>0</v>
      </c>
    </row>
    <row r="20" spans="1:5">
      <c r="A20" s="70" t="s">
        <v>121</v>
      </c>
      <c r="B20" s="71">
        <f t="shared" si="1"/>
        <v>57466.89</v>
      </c>
      <c r="C20" s="72"/>
      <c r="D20" s="73">
        <v>-14737.53</v>
      </c>
      <c r="E20" s="73">
        <f t="shared" si="0"/>
        <v>-14737.53</v>
      </c>
    </row>
    <row r="21" spans="1:5">
      <c r="A21" s="70" t="s">
        <v>122</v>
      </c>
      <c r="B21" s="71">
        <f t="shared" si="1"/>
        <v>42729.36</v>
      </c>
      <c r="C21" s="72"/>
      <c r="D21" s="73"/>
      <c r="E21" s="74">
        <f t="shared" si="0"/>
        <v>0</v>
      </c>
    </row>
    <row r="22" spans="1:5">
      <c r="A22" s="70" t="s">
        <v>123</v>
      </c>
      <c r="B22" s="71">
        <f t="shared" si="1"/>
        <v>42729.36</v>
      </c>
      <c r="C22" s="72">
        <v>129716.76</v>
      </c>
      <c r="D22" s="73">
        <v>-84957.93</v>
      </c>
      <c r="E22" s="75">
        <f t="shared" si="0"/>
        <v>44758.83</v>
      </c>
    </row>
    <row r="23" spans="1:5">
      <c r="A23" s="70" t="s">
        <v>124</v>
      </c>
      <c r="B23" s="71">
        <f t="shared" si="1"/>
        <v>87488.19</v>
      </c>
      <c r="C23" s="72"/>
      <c r="D23" s="73"/>
      <c r="E23" s="72">
        <f t="shared" si="0"/>
        <v>0</v>
      </c>
    </row>
    <row r="24" spans="1:5">
      <c r="A24" s="70" t="s">
        <v>125</v>
      </c>
      <c r="B24" s="71">
        <f t="shared" si="1"/>
        <v>87488.19</v>
      </c>
      <c r="C24" s="74"/>
      <c r="D24" s="73"/>
      <c r="E24" s="74">
        <f t="shared" si="0"/>
        <v>0</v>
      </c>
    </row>
    <row r="25" spans="1:5">
      <c r="A25" s="70" t="s">
        <v>126</v>
      </c>
      <c r="B25" s="71">
        <f t="shared" si="1"/>
        <v>87488.19</v>
      </c>
      <c r="C25" s="72"/>
      <c r="D25" s="73"/>
      <c r="E25" s="74">
        <f t="shared" si="0"/>
        <v>0</v>
      </c>
    </row>
    <row r="26" spans="1:5">
      <c r="A26" s="70" t="s">
        <v>127</v>
      </c>
      <c r="B26" s="71">
        <f t="shared" si="1"/>
        <v>87488.19</v>
      </c>
      <c r="C26" s="72"/>
      <c r="D26" s="73"/>
      <c r="E26" s="72">
        <f t="shared" si="0"/>
        <v>0</v>
      </c>
    </row>
    <row r="27" spans="1:5">
      <c r="A27" s="70" t="s">
        <v>128</v>
      </c>
      <c r="B27" s="71">
        <f t="shared" si="1"/>
        <v>87488.19</v>
      </c>
      <c r="C27" s="72"/>
      <c r="D27" s="73">
        <v>-28991.67</v>
      </c>
      <c r="E27" s="73">
        <f t="shared" si="0"/>
        <v>-28991.67</v>
      </c>
    </row>
    <row r="28" spans="1:5">
      <c r="A28" s="70" t="s">
        <v>129</v>
      </c>
      <c r="B28" s="71">
        <f t="shared" si="1"/>
        <v>58496.520000000004</v>
      </c>
      <c r="C28" s="72">
        <v>14791.68</v>
      </c>
      <c r="D28" s="73"/>
      <c r="E28" s="72">
        <f t="shared" si="0"/>
        <v>14791.68</v>
      </c>
    </row>
    <row r="29" spans="1:5">
      <c r="A29" s="70" t="s">
        <v>130</v>
      </c>
      <c r="B29" s="71">
        <f t="shared" si="1"/>
        <v>73288.200000000012</v>
      </c>
      <c r="C29" s="72">
        <v>9743.2000000000007</v>
      </c>
      <c r="D29" s="73"/>
      <c r="E29" s="74">
        <f t="shared" si="0"/>
        <v>9743.2000000000007</v>
      </c>
    </row>
    <row r="30" spans="1:5">
      <c r="A30" s="70" t="s">
        <v>131</v>
      </c>
      <c r="B30" s="71">
        <f t="shared" si="1"/>
        <v>83031.400000000009</v>
      </c>
      <c r="C30" s="72">
        <v>19743.2</v>
      </c>
      <c r="D30" s="73"/>
      <c r="E30" s="73">
        <f t="shared" si="0"/>
        <v>19743.2</v>
      </c>
    </row>
    <row r="31" spans="1:5">
      <c r="A31" s="70" t="s">
        <v>132</v>
      </c>
      <c r="B31" s="71">
        <f t="shared" si="1"/>
        <v>102774.6</v>
      </c>
      <c r="C31" s="72">
        <v>25500</v>
      </c>
      <c r="D31" s="73"/>
      <c r="E31" s="73">
        <f t="shared" si="0"/>
        <v>25500</v>
      </c>
    </row>
    <row r="32" spans="1:5">
      <c r="A32" s="70" t="s">
        <v>133</v>
      </c>
      <c r="B32" s="71">
        <f t="shared" si="1"/>
        <v>128274.6</v>
      </c>
      <c r="C32" s="72"/>
      <c r="D32" s="73">
        <v>-109964.35</v>
      </c>
      <c r="E32" s="74">
        <f t="shared" si="0"/>
        <v>-109964.35</v>
      </c>
    </row>
    <row r="33" spans="1:5">
      <c r="A33" s="70" t="s">
        <v>134</v>
      </c>
      <c r="B33" s="71">
        <f t="shared" si="1"/>
        <v>18310.25</v>
      </c>
      <c r="C33" s="72"/>
      <c r="D33" s="73"/>
      <c r="E33" s="74">
        <f t="shared" si="0"/>
        <v>0</v>
      </c>
    </row>
    <row r="34" spans="1:5">
      <c r="A34" s="70" t="s">
        <v>135</v>
      </c>
      <c r="B34" s="71">
        <f t="shared" si="1"/>
        <v>18310.25</v>
      </c>
      <c r="C34" s="72"/>
      <c r="D34" s="73"/>
      <c r="E34" s="72">
        <f t="shared" si="0"/>
        <v>0</v>
      </c>
    </row>
    <row r="35" spans="1:5">
      <c r="A35" s="70" t="s">
        <v>136</v>
      </c>
      <c r="B35" s="71">
        <f t="shared" si="1"/>
        <v>18310.25</v>
      </c>
      <c r="C35" s="72"/>
      <c r="D35" s="73"/>
      <c r="E35" s="72">
        <f t="shared" si="0"/>
        <v>0</v>
      </c>
    </row>
    <row r="36" spans="1:5" ht="15.75" thickBot="1">
      <c r="A36" s="76" t="s">
        <v>137</v>
      </c>
      <c r="B36" s="77">
        <f t="shared" si="1"/>
        <v>18310.25</v>
      </c>
      <c r="C36" s="78"/>
      <c r="D36" s="79"/>
      <c r="E36" s="78">
        <f t="shared" si="0"/>
        <v>0</v>
      </c>
    </row>
    <row r="37" spans="1:5" ht="16.5" thickTop="1" thickBot="1">
      <c r="A37" s="180" t="s">
        <v>138</v>
      </c>
      <c r="B37" s="180"/>
      <c r="C37" s="80">
        <f>SUM(C6:C36)</f>
        <v>248232.29</v>
      </c>
      <c r="D37" s="81">
        <f>SUM(D6:D36)</f>
        <v>-270645.21999999997</v>
      </c>
      <c r="E37" s="82">
        <f>SUM(E6:E36)</f>
        <v>-22412.930000000008</v>
      </c>
    </row>
    <row r="38" spans="1:5" ht="16.5" thickTop="1" thickBot="1">
      <c r="A38" s="83"/>
      <c r="B38" s="83"/>
      <c r="C38" s="83"/>
      <c r="D38" s="83"/>
      <c r="E38" s="83"/>
    </row>
    <row r="39" spans="1:5" ht="15.75" thickTop="1">
      <c r="A39" s="157" t="s">
        <v>139</v>
      </c>
      <c r="B39" s="158"/>
      <c r="C39" s="161">
        <f>B36+C36+D36</f>
        <v>18310.25</v>
      </c>
      <c r="D39" s="163" t="s">
        <v>140</v>
      </c>
      <c r="E39" s="165">
        <f>E37</f>
        <v>-22412.930000000008</v>
      </c>
    </row>
    <row r="40" spans="1:5" ht="15.75" thickBot="1">
      <c r="A40" s="159"/>
      <c r="B40" s="160"/>
      <c r="C40" s="162"/>
      <c r="D40" s="164"/>
      <c r="E40" s="166"/>
    </row>
    <row r="41" spans="1:5" ht="15.75" thickTop="1"/>
  </sheetData>
  <mergeCells count="10">
    <mergeCell ref="A39:B40"/>
    <mergeCell ref="C39:C40"/>
    <mergeCell ref="D39:D40"/>
    <mergeCell ref="E39:E40"/>
    <mergeCell ref="D1:E2"/>
    <mergeCell ref="A1:C2"/>
    <mergeCell ref="A3:B4"/>
    <mergeCell ref="C3:D4"/>
    <mergeCell ref="E3:E4"/>
    <mergeCell ref="A37:B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อินฟินิท เบรน</vt:lpstr>
      <vt:lpstr>เมต้า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 Intraphorn</dc:creator>
  <cp:lastModifiedBy>555555555 55555555</cp:lastModifiedBy>
  <cp:lastPrinted>2026-01-29T07:17:38Z</cp:lastPrinted>
  <dcterms:created xsi:type="dcterms:W3CDTF">2026-01-19T06:22:30Z</dcterms:created>
  <dcterms:modified xsi:type="dcterms:W3CDTF">2026-01-29T08:11:55Z</dcterms:modified>
</cp:coreProperties>
</file>