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เดสก์ท็อป\อินฟินิท เบรน 2569\"/>
    </mc:Choice>
  </mc:AlternateContent>
  <xr:revisionPtr revIDLastSave="0" documentId="13_ncr:1_{886349D6-B965-4B24-B77A-BC1FEB40D18E}" xr6:coauthVersionLast="47" xr6:coauthVersionMax="47" xr10:uidLastSave="{00000000-0000-0000-0000-000000000000}"/>
  <bookViews>
    <workbookView xWindow="-110" yWindow="-110" windowWidth="19420" windowHeight="10300" xr2:uid="{99F49410-E9BC-42B4-A4DD-8CBC97ACCC1F}"/>
  </bookViews>
  <sheets>
    <sheet name="กพ.69" sheetId="1" r:id="rId1"/>
    <sheet name="มค.69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B27" i="2"/>
  <c r="B34" i="2" s="1"/>
  <c r="B9" i="2"/>
  <c r="A34" i="2" s="1"/>
  <c r="B9" i="1"/>
  <c r="A34" i="1" s="1"/>
  <c r="B27" i="1"/>
  <c r="B34" i="1" s="1"/>
  <c r="C31" i="1"/>
  <c r="C34" i="2" l="1"/>
  <c r="C34" i="1"/>
</calcChain>
</file>

<file path=xl/sharedStrings.xml><?xml version="1.0" encoding="utf-8"?>
<sst xmlns="http://schemas.openxmlformats.org/spreadsheetml/2006/main" count="79" uniqueCount="37">
  <si>
    <t>รายงานผลประกอบการ อายเลเวล ปี 2569</t>
  </si>
  <si>
    <t>ประจำเดือน กุมภาพันธ์</t>
  </si>
  <si>
    <t>รายรับ</t>
  </si>
  <si>
    <t>ค่าคอร์ส อายเลเวล</t>
  </si>
  <si>
    <t>ค่าคอร์สเรียน  จีน</t>
  </si>
  <si>
    <t>ค่าคอร์สเรียน วิทยาศาสตร์</t>
  </si>
  <si>
    <t>ค่าทำบัญชีและค่าบริการ จากเมต้า โนวเลจ</t>
  </si>
  <si>
    <t>รายการ</t>
  </si>
  <si>
    <t>จำนวนเงิน</t>
  </si>
  <si>
    <t xml:space="preserve"> </t>
  </si>
  <si>
    <t>รายจ่าย</t>
  </si>
  <si>
    <t>เงินเดือนพนักงาน</t>
  </si>
  <si>
    <t>ค่าเช่าร้าน</t>
  </si>
  <si>
    <t>ค่าประกันสังคมและเงินสมทบ</t>
  </si>
  <si>
    <t>ภพ.30</t>
  </si>
  <si>
    <t>ค่าทำบัญชี</t>
  </si>
  <si>
    <t>ภงด.1,3,53</t>
  </si>
  <si>
    <t>ค่าธรรมเนียมธนาคาร</t>
  </si>
  <si>
    <t>เงินกองทุนสำรองพนักงาน</t>
  </si>
  <si>
    <t>ยอดทั้งหมดของเดือนที่แล้ว</t>
  </si>
  <si>
    <t>ยอดเดือนนี้</t>
  </si>
  <si>
    <t>ยอดรวมสุทธิ</t>
  </si>
  <si>
    <t>รวมรายรับ</t>
  </si>
  <si>
    <t>รวมรายจ่าย</t>
  </si>
  <si>
    <t>บาท</t>
  </si>
  <si>
    <t>ผลประกอบการ</t>
  </si>
  <si>
    <t xml:space="preserve">รายจ่าย </t>
  </si>
  <si>
    <t>กำไร/ขาดทุน</t>
  </si>
  <si>
    <t xml:space="preserve">     ประจำ</t>
  </si>
  <si>
    <t xml:space="preserve">     พาร์ทไทม์</t>
  </si>
  <si>
    <t xml:space="preserve">     ค่าบริการ</t>
  </si>
  <si>
    <t xml:space="preserve">     ภาษีโรงเรือน</t>
  </si>
  <si>
    <t xml:space="preserve">     ค่าไฟ</t>
  </si>
  <si>
    <t xml:space="preserve">     ค่าน้ำ</t>
  </si>
  <si>
    <t>ประจำเดือน มกราคม</t>
  </si>
  <si>
    <t>ค่าส่วนแบ่งแฟรนไชส์ (อายเลเวล)</t>
  </si>
  <si>
    <t>ค่าใช้จ่ายสำนักงาน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</si>
</sst>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0"/>
      <color theme="1"/>
      <name val="Bahnschrift SemiLight SemiConde"/>
      <family val="2"/>
    </font>
    <font>
      <sz val="10"/>
      <name val="Bahnschrift SemiLight SemiConde"/>
      <family val="2"/>
    </font>
    <font>
      <sz val="11"/>
      <color theme="1"/>
      <name val="Bahnschrift SemiLight SemiConde"/>
      <family val="2"/>
    </font>
    <font>
      <sz val="9"/>
      <name val="Bahnschrift SemiLight SemiConde"/>
      <family val="2"/>
    </font>
    <font>
      <b/>
      <sz val="10"/>
      <color theme="1"/>
      <name val="Bahnschrift SemiLight SemiConde"/>
      <family val="2"/>
    </font>
    <font>
      <b/>
      <sz val="10"/>
      <name val="Bahnschrift SemiLight SemiConde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/>
      </top>
      <bottom/>
      <diagonal/>
    </border>
    <border>
      <left/>
      <right/>
      <top/>
      <bottom style="thick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/>
      <bottom style="medium">
        <color theme="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2" fillId="0" borderId="0" xfId="0" applyFont="1"/>
    <xf numFmtId="4" fontId="4" fillId="0" borderId="0" xfId="0" applyNumberFormat="1" applyFont="1"/>
    <xf numFmtId="0" fontId="1" fillId="2" borderId="0" xfId="0" applyFont="1" applyFill="1"/>
    <xf numFmtId="4" fontId="1" fillId="2" borderId="0" xfId="0" applyNumberFormat="1" applyFont="1" applyFill="1"/>
    <xf numFmtId="4" fontId="2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>
      <alignment horizontal="left"/>
    </xf>
    <xf numFmtId="4" fontId="5" fillId="2" borderId="0" xfId="0" applyNumberFormat="1" applyFont="1" applyFill="1" applyAlignment="1">
      <alignment horizontal="center"/>
    </xf>
    <xf numFmtId="4" fontId="5" fillId="2" borderId="2" xfId="0" applyNumberFormat="1" applyFont="1" applyFill="1" applyBorder="1" applyAlignment="1">
      <alignment horizontal="center"/>
    </xf>
    <xf numFmtId="0" fontId="1" fillId="2" borderId="4" xfId="0" applyFont="1" applyFill="1" applyBorder="1"/>
    <xf numFmtId="4" fontId="5" fillId="2" borderId="4" xfId="0" applyNumberFormat="1" applyFont="1" applyFill="1" applyBorder="1" applyAlignment="1">
      <alignment horizontal="center"/>
    </xf>
    <xf numFmtId="4" fontId="1" fillId="2" borderId="4" xfId="0" applyNumberFormat="1" applyFont="1" applyFill="1" applyBorder="1"/>
    <xf numFmtId="4" fontId="6" fillId="2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3" fillId="0" borderId="0" xfId="0" applyFont="1"/>
    <xf numFmtId="0" fontId="5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2A46-75B0-46E9-A61E-92B2AAF53926}">
  <dimension ref="A1:J35"/>
  <sheetViews>
    <sheetView tabSelected="1" topLeftCell="A13" workbookViewId="0">
      <selection activeCell="E7" sqref="E7"/>
    </sheetView>
  </sheetViews>
  <sheetFormatPr defaultRowHeight="12.5" x14ac:dyDescent="0.25"/>
  <cols>
    <col min="1" max="3" width="13.9140625" style="1" customWidth="1"/>
    <col min="4" max="4" width="7.6640625" style="1" bestFit="1" customWidth="1"/>
    <col min="5" max="5" width="8.58203125" style="1" customWidth="1"/>
    <col min="6" max="6" width="7.58203125" style="1" bestFit="1" customWidth="1"/>
    <col min="7" max="16384" width="8.6640625" style="1"/>
  </cols>
  <sheetData>
    <row r="1" spans="1:10" x14ac:dyDescent="0.25">
      <c r="A1" s="21" t="s">
        <v>0</v>
      </c>
      <c r="B1" s="21"/>
      <c r="C1" s="21"/>
    </row>
    <row r="2" spans="1:10" ht="13" thickBot="1" x14ac:dyDescent="0.3">
      <c r="A2" s="21" t="s">
        <v>1</v>
      </c>
      <c r="B2" s="21"/>
      <c r="C2" s="21"/>
    </row>
    <row r="3" spans="1:10" ht="14.5" customHeight="1" x14ac:dyDescent="0.25">
      <c r="A3" s="22" t="s">
        <v>2</v>
      </c>
      <c r="B3" s="22"/>
      <c r="C3" s="22"/>
    </row>
    <row r="4" spans="1:10" x14ac:dyDescent="0.25">
      <c r="A4" s="6" t="s">
        <v>7</v>
      </c>
      <c r="B4" s="6"/>
      <c r="C4" s="19" t="s">
        <v>8</v>
      </c>
    </row>
    <row r="5" spans="1:10" x14ac:dyDescent="0.25">
      <c r="A5" s="6" t="s">
        <v>3</v>
      </c>
      <c r="B5" s="6"/>
      <c r="C5" s="7">
        <v>109110</v>
      </c>
      <c r="D5" s="2"/>
    </row>
    <row r="6" spans="1:10" x14ac:dyDescent="0.25">
      <c r="A6" s="6" t="s">
        <v>4</v>
      </c>
      <c r="B6" s="6"/>
      <c r="C6" s="7">
        <v>21768</v>
      </c>
      <c r="D6" s="2"/>
    </row>
    <row r="7" spans="1:10" x14ac:dyDescent="0.25">
      <c r="A7" s="6" t="s">
        <v>5</v>
      </c>
      <c r="B7" s="6"/>
      <c r="C7" s="7">
        <v>3800</v>
      </c>
      <c r="D7" s="2"/>
      <c r="G7" s="1" t="s">
        <v>9</v>
      </c>
    </row>
    <row r="8" spans="1:10" x14ac:dyDescent="0.25">
      <c r="A8" s="6" t="s">
        <v>6</v>
      </c>
      <c r="B8" s="6"/>
      <c r="C8" s="7">
        <v>9000</v>
      </c>
      <c r="D8" s="2"/>
    </row>
    <row r="9" spans="1:10" ht="13" thickBot="1" x14ac:dyDescent="0.3">
      <c r="A9" s="13" t="s">
        <v>22</v>
      </c>
      <c r="B9" s="14">
        <f>SUM(C5:C8)</f>
        <v>143678</v>
      </c>
      <c r="C9" s="13" t="s">
        <v>24</v>
      </c>
      <c r="D9" s="2"/>
      <c r="E9" s="2"/>
    </row>
    <row r="10" spans="1:10" ht="14.5" customHeight="1" x14ac:dyDescent="0.25">
      <c r="A10" s="21" t="s">
        <v>10</v>
      </c>
      <c r="B10" s="21"/>
      <c r="C10" s="21"/>
    </row>
    <row r="11" spans="1:10" x14ac:dyDescent="0.25">
      <c r="A11" s="6" t="s">
        <v>7</v>
      </c>
      <c r="B11" s="6"/>
      <c r="C11" s="19" t="s">
        <v>8</v>
      </c>
    </row>
    <row r="12" spans="1:10" x14ac:dyDescent="0.25">
      <c r="A12" s="6" t="s">
        <v>11</v>
      </c>
      <c r="B12" s="6"/>
      <c r="C12" s="7"/>
      <c r="D12" s="2"/>
      <c r="E12" s="2"/>
      <c r="J12" s="4"/>
    </row>
    <row r="13" spans="1:10" x14ac:dyDescent="0.25">
      <c r="A13" s="6" t="s">
        <v>28</v>
      </c>
      <c r="B13" s="6"/>
      <c r="C13" s="7">
        <v>78720.759999999995</v>
      </c>
      <c r="D13" s="2"/>
      <c r="E13" s="2"/>
    </row>
    <row r="14" spans="1:10" x14ac:dyDescent="0.25">
      <c r="A14" s="6" t="s">
        <v>29</v>
      </c>
      <c r="B14" s="6"/>
      <c r="C14" s="7">
        <v>49417.1</v>
      </c>
      <c r="D14" s="2"/>
      <c r="E14" s="2"/>
    </row>
    <row r="15" spans="1:10" x14ac:dyDescent="0.25">
      <c r="A15" s="6" t="s">
        <v>12</v>
      </c>
      <c r="B15" s="6"/>
      <c r="C15" s="7"/>
      <c r="D15" s="2"/>
      <c r="E15" s="2"/>
    </row>
    <row r="16" spans="1:10" x14ac:dyDescent="0.25">
      <c r="A16" s="6" t="s">
        <v>30</v>
      </c>
      <c r="B16" s="6"/>
      <c r="C16" s="7"/>
      <c r="D16" s="2"/>
      <c r="E16" s="2"/>
    </row>
    <row r="17" spans="1:7" x14ac:dyDescent="0.25">
      <c r="A17" s="6" t="s">
        <v>31</v>
      </c>
      <c r="B17" s="6"/>
      <c r="C17" s="7"/>
      <c r="D17" s="2"/>
      <c r="E17" s="2"/>
    </row>
    <row r="18" spans="1:7" x14ac:dyDescent="0.25">
      <c r="A18" s="6" t="s">
        <v>32</v>
      </c>
      <c r="B18" s="6"/>
      <c r="C18" s="7"/>
      <c r="D18" s="2"/>
      <c r="E18" s="2"/>
    </row>
    <row r="19" spans="1:7" x14ac:dyDescent="0.25">
      <c r="A19" s="6" t="s">
        <v>33</v>
      </c>
      <c r="B19" s="6"/>
      <c r="C19" s="8">
        <v>75314.52</v>
      </c>
      <c r="D19" s="3"/>
      <c r="E19" s="3"/>
    </row>
    <row r="20" spans="1:7" x14ac:dyDescent="0.25">
      <c r="A20" s="6" t="s">
        <v>35</v>
      </c>
      <c r="B20" s="6"/>
      <c r="C20" s="8">
        <v>39159.35</v>
      </c>
      <c r="D20" s="3"/>
      <c r="E20" s="3"/>
    </row>
    <row r="21" spans="1:7" x14ac:dyDescent="0.25">
      <c r="A21" s="6" t="s">
        <v>36</v>
      </c>
      <c r="B21" s="6"/>
      <c r="C21" s="7">
        <v>15033.63</v>
      </c>
      <c r="D21" s="2"/>
      <c r="E21" s="2"/>
    </row>
    <row r="22" spans="1:7" x14ac:dyDescent="0.25">
      <c r="A22" s="6" t="s">
        <v>13</v>
      </c>
      <c r="B22" s="6"/>
      <c r="C22" s="7">
        <v>6500</v>
      </c>
      <c r="D22" s="2"/>
      <c r="E22" s="2"/>
    </row>
    <row r="23" spans="1:7" x14ac:dyDescent="0.25">
      <c r="A23" s="6" t="s">
        <v>16</v>
      </c>
      <c r="B23" s="6"/>
      <c r="C23" s="7">
        <v>2047.9</v>
      </c>
      <c r="D23" s="2"/>
      <c r="E23" s="2"/>
    </row>
    <row r="24" spans="1:7" x14ac:dyDescent="0.25">
      <c r="A24" s="6" t="s">
        <v>14</v>
      </c>
      <c r="B24" s="6"/>
      <c r="C24" s="7">
        <v>1289.67</v>
      </c>
      <c r="D24" s="2"/>
      <c r="E24" s="2"/>
    </row>
    <row r="25" spans="1:7" x14ac:dyDescent="0.25">
      <c r="A25" s="6" t="s">
        <v>15</v>
      </c>
      <c r="B25" s="6"/>
      <c r="C25" s="9">
        <v>4850</v>
      </c>
      <c r="D25" s="5"/>
      <c r="E25" s="5"/>
      <c r="G25" s="2"/>
    </row>
    <row r="26" spans="1:7" x14ac:dyDescent="0.25">
      <c r="A26" s="6" t="s">
        <v>17</v>
      </c>
      <c r="B26" s="6"/>
      <c r="C26" s="7">
        <v>1996.63</v>
      </c>
      <c r="D26" s="2"/>
      <c r="E26" s="2"/>
      <c r="G26" s="2"/>
    </row>
    <row r="27" spans="1:7" ht="13" thickBot="1" x14ac:dyDescent="0.3">
      <c r="A27" s="6" t="s">
        <v>23</v>
      </c>
      <c r="B27" s="11">
        <f>SUM(C13:C26)</f>
        <v>274329.56</v>
      </c>
      <c r="C27" s="10" t="s">
        <v>24</v>
      </c>
      <c r="E27" s="2"/>
    </row>
    <row r="28" spans="1:7" ht="14.5" customHeight="1" x14ac:dyDescent="0.25">
      <c r="A28" s="22" t="s">
        <v>18</v>
      </c>
      <c r="B28" s="22"/>
      <c r="C28" s="22"/>
    </row>
    <row r="29" spans="1:7" x14ac:dyDescent="0.25">
      <c r="A29" s="6" t="s">
        <v>19</v>
      </c>
      <c r="B29" s="6"/>
      <c r="C29" s="7">
        <v>2735.56</v>
      </c>
    </row>
    <row r="30" spans="1:7" x14ac:dyDescent="0.25">
      <c r="A30" s="6" t="s">
        <v>20</v>
      </c>
      <c r="B30" s="6"/>
      <c r="C30" s="7">
        <v>927.71</v>
      </c>
    </row>
    <row r="31" spans="1:7" ht="13" thickBot="1" x14ac:dyDescent="0.3">
      <c r="A31" s="13" t="s">
        <v>21</v>
      </c>
      <c r="B31" s="13"/>
      <c r="C31" s="15">
        <f>SUM(C29:C30)</f>
        <v>3663.27</v>
      </c>
    </row>
    <row r="32" spans="1:7" x14ac:dyDescent="0.25">
      <c r="A32" s="21" t="s">
        <v>25</v>
      </c>
      <c r="B32" s="21"/>
      <c r="C32" s="21"/>
    </row>
    <row r="33" spans="1:3" x14ac:dyDescent="0.25">
      <c r="A33" s="17" t="s">
        <v>2</v>
      </c>
      <c r="B33" s="17" t="s">
        <v>26</v>
      </c>
      <c r="C33" s="18" t="s">
        <v>27</v>
      </c>
    </row>
    <row r="34" spans="1:3" ht="13" thickBot="1" x14ac:dyDescent="0.3">
      <c r="A34" s="12">
        <f>B9</f>
        <v>143678</v>
      </c>
      <c r="B34" s="12">
        <f>B27</f>
        <v>274329.56</v>
      </c>
      <c r="C34" s="16">
        <f>A34-B34</f>
        <v>-130651.56</v>
      </c>
    </row>
    <row r="35" spans="1:3" ht="13" thickTop="1" x14ac:dyDescent="0.25"/>
  </sheetData>
  <mergeCells count="6">
    <mergeCell ref="A1:C1"/>
    <mergeCell ref="A28:C28"/>
    <mergeCell ref="A32:C32"/>
    <mergeCell ref="A10:C10"/>
    <mergeCell ref="A3:C3"/>
    <mergeCell ref="A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81C0-E730-4201-9C2E-17476A1825CB}">
  <dimension ref="A1:C35"/>
  <sheetViews>
    <sheetView topLeftCell="A19" workbookViewId="0">
      <selection activeCell="G29" sqref="G29"/>
    </sheetView>
  </sheetViews>
  <sheetFormatPr defaultRowHeight="14" x14ac:dyDescent="0.3"/>
  <cols>
    <col min="1" max="3" width="14.33203125" style="20" customWidth="1"/>
    <col min="4" max="16384" width="8.6640625" style="20"/>
  </cols>
  <sheetData>
    <row r="1" spans="1:3" ht="14.5" thickTop="1" x14ac:dyDescent="0.3">
      <c r="A1" s="23" t="s">
        <v>0</v>
      </c>
      <c r="B1" s="23"/>
      <c r="C1" s="23"/>
    </row>
    <row r="2" spans="1:3" ht="14.5" thickBot="1" x14ac:dyDescent="0.35">
      <c r="A2" s="24" t="s">
        <v>34</v>
      </c>
      <c r="B2" s="24"/>
      <c r="C2" s="24"/>
    </row>
    <row r="3" spans="1:3" x14ac:dyDescent="0.3">
      <c r="A3" s="22" t="s">
        <v>2</v>
      </c>
      <c r="B3" s="22"/>
      <c r="C3" s="22"/>
    </row>
    <row r="4" spans="1:3" x14ac:dyDescent="0.3">
      <c r="A4" s="6" t="s">
        <v>7</v>
      </c>
      <c r="B4" s="6"/>
      <c r="C4" s="19" t="s">
        <v>8</v>
      </c>
    </row>
    <row r="5" spans="1:3" x14ac:dyDescent="0.3">
      <c r="A5" s="6" t="s">
        <v>3</v>
      </c>
      <c r="B5" s="6"/>
      <c r="C5" s="7">
        <v>175380</v>
      </c>
    </row>
    <row r="6" spans="1:3" x14ac:dyDescent="0.3">
      <c r="A6" s="6" t="s">
        <v>4</v>
      </c>
      <c r="B6" s="6"/>
      <c r="C6" s="7">
        <v>40676</v>
      </c>
    </row>
    <row r="7" spans="1:3" x14ac:dyDescent="0.3">
      <c r="A7" s="6" t="s">
        <v>5</v>
      </c>
      <c r="B7" s="6"/>
      <c r="C7" s="7">
        <v>16000</v>
      </c>
    </row>
    <row r="8" spans="1:3" x14ac:dyDescent="0.3">
      <c r="A8" s="6" t="s">
        <v>6</v>
      </c>
      <c r="B8" s="6"/>
      <c r="C8" s="7">
        <v>9000</v>
      </c>
    </row>
    <row r="9" spans="1:3" ht="14.5" thickBot="1" x14ac:dyDescent="0.35">
      <c r="A9" s="13" t="s">
        <v>22</v>
      </c>
      <c r="B9" s="14">
        <f>SUM(C5:C8)</f>
        <v>241056</v>
      </c>
      <c r="C9" s="13" t="s">
        <v>24</v>
      </c>
    </row>
    <row r="10" spans="1:3" x14ac:dyDescent="0.3">
      <c r="A10" s="21" t="s">
        <v>10</v>
      </c>
      <c r="B10" s="21"/>
      <c r="C10" s="21"/>
    </row>
    <row r="11" spans="1:3" x14ac:dyDescent="0.3">
      <c r="A11" s="6" t="s">
        <v>7</v>
      </c>
      <c r="B11" s="6"/>
      <c r="C11" s="19" t="s">
        <v>8</v>
      </c>
    </row>
    <row r="12" spans="1:3" x14ac:dyDescent="0.3">
      <c r="A12" s="6" t="s">
        <v>11</v>
      </c>
      <c r="B12" s="6"/>
      <c r="C12" s="7"/>
    </row>
    <row r="13" spans="1:3" x14ac:dyDescent="0.3">
      <c r="A13" s="6" t="s">
        <v>28</v>
      </c>
      <c r="B13" s="6"/>
      <c r="C13" s="7">
        <v>78241.56</v>
      </c>
    </row>
    <row r="14" spans="1:3" x14ac:dyDescent="0.3">
      <c r="A14" s="6" t="s">
        <v>29</v>
      </c>
      <c r="B14" s="6"/>
      <c r="C14" s="7">
        <v>48920.85</v>
      </c>
    </row>
    <row r="15" spans="1:3" x14ac:dyDescent="0.3">
      <c r="A15" s="6" t="s">
        <v>12</v>
      </c>
      <c r="B15" s="6"/>
      <c r="C15" s="7"/>
    </row>
    <row r="16" spans="1:3" x14ac:dyDescent="0.3">
      <c r="A16" s="6" t="s">
        <v>30</v>
      </c>
      <c r="B16" s="6"/>
      <c r="C16" s="7"/>
    </row>
    <row r="17" spans="1:3" x14ac:dyDescent="0.3">
      <c r="A17" s="6" t="s">
        <v>31</v>
      </c>
      <c r="B17" s="6"/>
      <c r="C17" s="7"/>
    </row>
    <row r="18" spans="1:3" x14ac:dyDescent="0.3">
      <c r="A18" s="6" t="s">
        <v>32</v>
      </c>
      <c r="B18" s="6"/>
      <c r="C18" s="7"/>
    </row>
    <row r="19" spans="1:3" x14ac:dyDescent="0.3">
      <c r="A19" s="6" t="s">
        <v>33</v>
      </c>
      <c r="B19" s="6"/>
      <c r="C19" s="8">
        <v>259246.18</v>
      </c>
    </row>
    <row r="20" spans="1:3" x14ac:dyDescent="0.3">
      <c r="A20" s="6" t="s">
        <v>35</v>
      </c>
      <c r="B20" s="6"/>
      <c r="C20" s="8">
        <v>56187.75</v>
      </c>
    </row>
    <row r="21" spans="1:3" x14ac:dyDescent="0.3">
      <c r="A21" s="6" t="s">
        <v>36</v>
      </c>
      <c r="B21" s="6"/>
      <c r="C21" s="7">
        <v>11336.59</v>
      </c>
    </row>
    <row r="22" spans="1:3" x14ac:dyDescent="0.3">
      <c r="A22" s="6" t="s">
        <v>13</v>
      </c>
      <c r="B22" s="6"/>
      <c r="C22" s="7">
        <v>5750</v>
      </c>
    </row>
    <row r="23" spans="1:3" x14ac:dyDescent="0.3">
      <c r="A23" s="6" t="s">
        <v>16</v>
      </c>
      <c r="B23" s="6"/>
      <c r="C23" s="7">
        <v>379</v>
      </c>
    </row>
    <row r="24" spans="1:3" x14ac:dyDescent="0.3">
      <c r="A24" s="6" t="s">
        <v>14</v>
      </c>
      <c r="B24" s="6"/>
      <c r="C24" s="7">
        <v>2855</v>
      </c>
    </row>
    <row r="25" spans="1:3" x14ac:dyDescent="0.3">
      <c r="A25" s="6" t="s">
        <v>15</v>
      </c>
      <c r="B25" s="6"/>
      <c r="C25" s="9">
        <v>4850</v>
      </c>
    </row>
    <row r="26" spans="1:3" x14ac:dyDescent="0.3">
      <c r="A26" s="6" t="s">
        <v>17</v>
      </c>
      <c r="B26" s="6"/>
      <c r="C26" s="7">
        <v>2225.96</v>
      </c>
    </row>
    <row r="27" spans="1:3" ht="14.5" thickBot="1" x14ac:dyDescent="0.35">
      <c r="A27" s="6" t="s">
        <v>23</v>
      </c>
      <c r="B27" s="11">
        <f>SUM(C13:C26)</f>
        <v>469992.89</v>
      </c>
      <c r="C27" s="10" t="s">
        <v>24</v>
      </c>
    </row>
    <row r="28" spans="1:3" x14ac:dyDescent="0.3">
      <c r="A28" s="22" t="s">
        <v>18</v>
      </c>
      <c r="B28" s="22"/>
      <c r="C28" s="22"/>
    </row>
    <row r="29" spans="1:3" x14ac:dyDescent="0.3">
      <c r="A29" s="6" t="s">
        <v>19</v>
      </c>
      <c r="B29" s="6"/>
      <c r="C29" s="7">
        <v>2735.56</v>
      </c>
    </row>
    <row r="30" spans="1:3" x14ac:dyDescent="0.3">
      <c r="A30" s="6" t="s">
        <v>20</v>
      </c>
      <c r="B30" s="6"/>
      <c r="C30" s="7">
        <v>927.71</v>
      </c>
    </row>
    <row r="31" spans="1:3" ht="14.5" thickBot="1" x14ac:dyDescent="0.35">
      <c r="A31" s="13" t="s">
        <v>21</v>
      </c>
      <c r="B31" s="13"/>
      <c r="C31" s="15">
        <f>SUM(C29:C30)</f>
        <v>3663.27</v>
      </c>
    </row>
    <row r="32" spans="1:3" x14ac:dyDescent="0.3">
      <c r="A32" s="21" t="s">
        <v>25</v>
      </c>
      <c r="B32" s="21"/>
      <c r="C32" s="21"/>
    </row>
    <row r="33" spans="1:3" x14ac:dyDescent="0.3">
      <c r="A33" s="17" t="s">
        <v>2</v>
      </c>
      <c r="B33" s="17" t="s">
        <v>26</v>
      </c>
      <c r="C33" s="18" t="s">
        <v>27</v>
      </c>
    </row>
    <row r="34" spans="1:3" ht="14.5" thickBot="1" x14ac:dyDescent="0.35">
      <c r="A34" s="12">
        <f>B9</f>
        <v>241056</v>
      </c>
      <c r="B34" s="12">
        <f>B27</f>
        <v>469992.89</v>
      </c>
      <c r="C34" s="16">
        <f>A34-B34</f>
        <v>-228936.89</v>
      </c>
    </row>
    <row r="35" spans="1:3" ht="14.5" thickTop="1" x14ac:dyDescent="0.3"/>
  </sheetData>
  <mergeCells count="6">
    <mergeCell ref="A32:C32"/>
    <mergeCell ref="A1:C1"/>
    <mergeCell ref="A2:C2"/>
    <mergeCell ref="A3:C3"/>
    <mergeCell ref="A10:C10"/>
    <mergeCell ref="A28:C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กพ.69</vt:lpstr>
      <vt:lpstr>มค.69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 Intraphorn</dc:creator>
  <cp:lastModifiedBy>mana Intraphorn</cp:lastModifiedBy>
  <dcterms:created xsi:type="dcterms:W3CDTF">2026-03-15T04:06:53Z</dcterms:created>
  <dcterms:modified xsi:type="dcterms:W3CDTF">2026-03-16T04:44:41Z</dcterms:modified>
</cp:coreProperties>
</file>