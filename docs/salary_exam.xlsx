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l\Downloads\"/>
    </mc:Choice>
  </mc:AlternateContent>
  <xr:revisionPtr revIDLastSave="0" documentId="13_ncr:1_{9D216C20-D456-4F3E-B8B9-64A95A7054F8}" xr6:coauthVersionLast="47" xr6:coauthVersionMax="47" xr10:uidLastSave="{00000000-0000-0000-0000-000000000000}"/>
  <bookViews>
    <workbookView xWindow="28680" yWindow="-120" windowWidth="29040" windowHeight="15720" xr2:uid="{93E8AC89-4CA6-4CDA-A97A-DF4780ED059C}"/>
  </bookViews>
  <sheets>
    <sheet name="สรุปเงินเดือน" sheetId="1" r:id="rId1"/>
    <sheet name="มค69" sheetId="2" r:id="rId2"/>
    <sheet name="ประวัติ (2)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F12" i="2"/>
  <c r="I9" i="1" s="1"/>
  <c r="J298" i="2"/>
  <c r="J279" i="2"/>
  <c r="J184" i="2"/>
  <c r="J145" i="2"/>
  <c r="J88" i="2"/>
  <c r="J11" i="2"/>
  <c r="K29" i="1" l="1"/>
  <c r="K30" i="1"/>
  <c r="K28" i="1"/>
  <c r="K10" i="1"/>
  <c r="K11" i="1"/>
  <c r="K12" i="1"/>
  <c r="K9" i="1"/>
  <c r="M355" i="2"/>
  <c r="F393" i="2"/>
  <c r="F31" i="1"/>
  <c r="F13" i="1"/>
  <c r="H26" i="1"/>
  <c r="I26" i="1"/>
  <c r="K26" i="1"/>
  <c r="M26" i="1"/>
  <c r="G31" i="1"/>
  <c r="H31" i="1"/>
  <c r="I31" i="1"/>
  <c r="L31" i="1"/>
  <c r="J30" i="1"/>
  <c r="J29" i="1"/>
  <c r="J28" i="1"/>
  <c r="J31" i="1" s="1"/>
  <c r="O392" i="2" l="1"/>
  <c r="O394" i="2" s="1"/>
  <c r="F25" i="1"/>
  <c r="J25" i="1" s="1"/>
  <c r="L25" i="1" s="1"/>
  <c r="N25" i="1" s="1"/>
  <c r="F400" i="2"/>
  <c r="J393" i="2" s="1"/>
  <c r="J400" i="2" s="1"/>
  <c r="M397" i="2" s="1"/>
  <c r="O25" i="1"/>
  <c r="K31" i="1"/>
  <c r="J18" i="2" l="1"/>
  <c r="F374" i="2"/>
  <c r="M374" i="2"/>
  <c r="M393" i="2" s="1"/>
  <c r="F355" i="2"/>
  <c r="F336" i="2"/>
  <c r="M317" i="2"/>
  <c r="M336" i="2" s="1"/>
  <c r="F317" i="2"/>
  <c r="F305" i="2"/>
  <c r="M298" i="2"/>
  <c r="O297" i="2"/>
  <c r="O299" i="2" s="1"/>
  <c r="J299" i="2" s="1"/>
  <c r="M30" i="1" s="1"/>
  <c r="N30" i="1" s="1"/>
  <c r="O30" i="1" s="1"/>
  <c r="F286" i="2"/>
  <c r="M279" i="2"/>
  <c r="O278" i="2"/>
  <c r="O280" i="2" s="1"/>
  <c r="J280" i="2" s="1"/>
  <c r="M29" i="1" s="1"/>
  <c r="N29" i="1" s="1"/>
  <c r="O29" i="1" s="1"/>
  <c r="M260" i="2"/>
  <c r="F260" i="2"/>
  <c r="F241" i="2"/>
  <c r="F222" i="2"/>
  <c r="M203" i="2"/>
  <c r="M222" i="2" s="1"/>
  <c r="M241" i="2" s="1"/>
  <c r="F203" i="2"/>
  <c r="F191" i="2"/>
  <c r="O185" i="2"/>
  <c r="M184" i="2"/>
  <c r="J191" i="2"/>
  <c r="M164" i="2"/>
  <c r="F164" i="2"/>
  <c r="F152" i="2"/>
  <c r="M145" i="2"/>
  <c r="J152" i="2"/>
  <c r="O144" i="2"/>
  <c r="O146" i="2" s="1"/>
  <c r="M126" i="2"/>
  <c r="F126" i="2"/>
  <c r="M107" i="2"/>
  <c r="F107" i="2"/>
  <c r="E95" i="2"/>
  <c r="M88" i="2"/>
  <c r="J95" i="2"/>
  <c r="O87" i="2"/>
  <c r="O89" i="2" s="1"/>
  <c r="M69" i="2"/>
  <c r="F69" i="2"/>
  <c r="F51" i="2"/>
  <c r="G15" i="1" s="1"/>
  <c r="G26" i="1" s="1"/>
  <c r="M50" i="2"/>
  <c r="F15" i="1"/>
  <c r="M31" i="2"/>
  <c r="F31" i="2"/>
  <c r="J31" i="2" s="1"/>
  <c r="F18" i="2"/>
  <c r="O335" i="2" l="1"/>
  <c r="O337" i="2" s="1"/>
  <c r="F22" i="1"/>
  <c r="F267" i="2"/>
  <c r="J260" i="2" s="1"/>
  <c r="J267" i="2" s="1"/>
  <c r="F20" i="1"/>
  <c r="O354" i="2"/>
  <c r="O356" i="2" s="1"/>
  <c r="F23" i="1"/>
  <c r="F229" i="2"/>
  <c r="J222" i="2" s="1"/>
  <c r="J229" i="2" s="1"/>
  <c r="F19" i="1"/>
  <c r="F248" i="2"/>
  <c r="J241" i="2" s="1"/>
  <c r="J248" i="2" s="1"/>
  <c r="F18" i="1"/>
  <c r="F76" i="2"/>
  <c r="F16" i="1"/>
  <c r="J69" i="2"/>
  <c r="O316" i="2"/>
  <c r="O318" i="2" s="1"/>
  <c r="F21" i="1"/>
  <c r="O373" i="2"/>
  <c r="O375" i="2" s="1"/>
  <c r="F24" i="1"/>
  <c r="F171" i="2"/>
  <c r="J164" i="2" s="1"/>
  <c r="J171" i="2" s="1"/>
  <c r="M168" i="2" s="1"/>
  <c r="F17" i="1"/>
  <c r="F26" i="1" s="1"/>
  <c r="O49" i="2"/>
  <c r="O51" i="2" s="1"/>
  <c r="O125" i="2"/>
  <c r="O127" i="2" s="1"/>
  <c r="J126" i="2"/>
  <c r="J133" i="2" s="1"/>
  <c r="O202" i="2"/>
  <c r="O204" i="2" s="1"/>
  <c r="J203" i="2"/>
  <c r="F114" i="2"/>
  <c r="J107" i="2"/>
  <c r="M149" i="2"/>
  <c r="O163" i="2"/>
  <c r="O165" i="2" s="1"/>
  <c r="F343" i="2"/>
  <c r="J336" i="2" s="1"/>
  <c r="J343" i="2" s="1"/>
  <c r="F57" i="2"/>
  <c r="J50" i="2" s="1"/>
  <c r="J57" i="2" s="1"/>
  <c r="M54" i="2" s="1"/>
  <c r="M188" i="2"/>
  <c r="F324" i="2"/>
  <c r="J317" i="2" s="1"/>
  <c r="J324" i="2" s="1"/>
  <c r="M321" i="2" s="1"/>
  <c r="F362" i="2"/>
  <c r="J355" i="2" s="1"/>
  <c r="J362" i="2" s="1"/>
  <c r="M359" i="2" s="1"/>
  <c r="F381" i="2"/>
  <c r="J374" i="2" s="1"/>
  <c r="J381" i="2" s="1"/>
  <c r="M378" i="2" s="1"/>
  <c r="O68" i="2"/>
  <c r="O70" i="2" s="1"/>
  <c r="M264" i="2"/>
  <c r="O259" i="2" s="1"/>
  <c r="O261" i="2" s="1"/>
  <c r="M245" i="2"/>
  <c r="O240" i="2" s="1"/>
  <c r="O242" i="2" s="1"/>
  <c r="M226" i="2"/>
  <c r="O221" i="2" s="1"/>
  <c r="O223" i="2" s="1"/>
  <c r="J38" i="2"/>
  <c r="F210" i="2"/>
  <c r="O106" i="2"/>
  <c r="O108" i="2" s="1"/>
  <c r="O30" i="2"/>
  <c r="O32" i="2" s="1"/>
  <c r="M15" i="2"/>
  <c r="J305" i="2"/>
  <c r="M302" i="2" s="1"/>
  <c r="M92" i="2"/>
  <c r="J286" i="2"/>
  <c r="M283" i="2" s="1"/>
  <c r="J210" i="2"/>
  <c r="F133" i="2"/>
  <c r="F38" i="2"/>
  <c r="J76" i="2" l="1"/>
  <c r="M73" i="2" s="1"/>
  <c r="M28" i="1"/>
  <c r="M31" i="1" s="1"/>
  <c r="J108" i="2"/>
  <c r="M340" i="2"/>
  <c r="M207" i="2"/>
  <c r="J114" i="2"/>
  <c r="M111" i="2" s="1"/>
  <c r="M35" i="2"/>
  <c r="M130" i="2"/>
  <c r="N28" i="1" l="1"/>
  <c r="O28" i="1"/>
  <c r="O31" i="1" s="1"/>
  <c r="N31" i="1"/>
  <c r="J24" i="1"/>
  <c r="J23" i="1"/>
  <c r="J22" i="1"/>
  <c r="J21" i="1"/>
  <c r="J20" i="1"/>
  <c r="J19" i="1"/>
  <c r="J18" i="1"/>
  <c r="J17" i="1"/>
  <c r="L17" i="1" s="1"/>
  <c r="N17" i="1" s="1"/>
  <c r="J16" i="1"/>
  <c r="J15" i="1"/>
  <c r="M13" i="1"/>
  <c r="L13" i="1"/>
  <c r="I13" i="1"/>
  <c r="H13" i="1"/>
  <c r="G13" i="1"/>
  <c r="N12" i="1"/>
  <c r="J12" i="1"/>
  <c r="N11" i="1"/>
  <c r="J11" i="1"/>
  <c r="N10" i="1"/>
  <c r="J10" i="1"/>
  <c r="N9" i="1"/>
  <c r="J9" i="1"/>
  <c r="J26" i="1" l="1"/>
  <c r="L24" i="1"/>
  <c r="N24" i="1" s="1"/>
  <c r="O24" i="1" s="1"/>
  <c r="L18" i="1"/>
  <c r="N18" i="1" s="1"/>
  <c r="O18" i="1" s="1"/>
  <c r="L19" i="1"/>
  <c r="N19" i="1" s="1"/>
  <c r="O19" i="1" s="1"/>
  <c r="L20" i="1"/>
  <c r="N20" i="1" s="1"/>
  <c r="O20" i="1" s="1"/>
  <c r="L21" i="1"/>
  <c r="N21" i="1" s="1"/>
  <c r="O21" i="1" s="1"/>
  <c r="L15" i="1"/>
  <c r="L22" i="1"/>
  <c r="N22" i="1" s="1"/>
  <c r="O22" i="1" s="1"/>
  <c r="L16" i="1"/>
  <c r="N16" i="1" s="1"/>
  <c r="O16" i="1" s="1"/>
  <c r="L23" i="1"/>
  <c r="N23" i="1" s="1"/>
  <c r="O23" i="1" s="1"/>
  <c r="O9" i="1"/>
  <c r="O11" i="1"/>
  <c r="O17" i="1"/>
  <c r="J13" i="1"/>
  <c r="N13" i="1"/>
  <c r="O12" i="1"/>
  <c r="K13" i="1"/>
  <c r="O10" i="1"/>
  <c r="L26" i="1" l="1"/>
  <c r="N15" i="1"/>
  <c r="N26" i="1" s="1"/>
  <c r="O13" i="1"/>
  <c r="O15" i="1" l="1"/>
  <c r="O26" i="1" s="1"/>
</calcChain>
</file>

<file path=xl/sharedStrings.xml><?xml version="1.0" encoding="utf-8"?>
<sst xmlns="http://schemas.openxmlformats.org/spreadsheetml/2006/main" count="1080" uniqueCount="304">
  <si>
    <t xml:space="preserve">                        บริษัท อินฟินิท เบรน จำกัด (สำนักงานใหญ่)</t>
  </si>
  <si>
    <t xml:space="preserve">                                   555/9 ม.1 ต.บางขนุน อ.บางกรวย จ.นนทบุรี 11130</t>
  </si>
  <si>
    <t xml:space="preserve">                            เลขประจำตัวผู้เสียภาษี : 0125563031038</t>
  </si>
  <si>
    <t>ใบสรุปจ่ายเงินเดือน/ค่าจ้าง/เงินประจำตำแหน่ง</t>
  </si>
  <si>
    <t>พนักงานประจำ</t>
  </si>
  <si>
    <t>ที่</t>
  </si>
  <si>
    <t>ชื่อ - นามสกุล</t>
  </si>
  <si>
    <t>ตำแหน่ง</t>
  </si>
  <si>
    <t>รหัส</t>
  </si>
  <si>
    <t>เลขบัญชี</t>
  </si>
  <si>
    <t>เงินเดือน</t>
  </si>
  <si>
    <t>ล่วงเวลา</t>
  </si>
  <si>
    <t>ค่าเดินทาง</t>
  </si>
  <si>
    <t>อื่นๆ</t>
  </si>
  <si>
    <t>รวม</t>
  </si>
  <si>
    <t>ปกส.5%</t>
  </si>
  <si>
    <t>รวมหัก</t>
  </si>
  <si>
    <t>จ่ายสุทธิ</t>
  </si>
  <si>
    <t>นายมานะ อินทราภรณ์</t>
  </si>
  <si>
    <t>ผู้จัดการ</t>
  </si>
  <si>
    <t>KB 754 207 0530</t>
  </si>
  <si>
    <t>นางสาวมอม เบริน</t>
  </si>
  <si>
    <t>ผู้ช่วยครู</t>
  </si>
  <si>
    <t>KB 027 896 4876</t>
  </si>
  <si>
    <t>นางสาวอรอินทรา เต็งประวัติ</t>
  </si>
  <si>
    <t>บัญชี</t>
  </si>
  <si>
    <t>KB 754 206 8048</t>
  </si>
  <si>
    <t>นางสาว แพรวา สนิท</t>
  </si>
  <si>
    <t>ธุรการ/ขาย</t>
  </si>
  <si>
    <t>KB 160 159 3390</t>
  </si>
  <si>
    <t xml:space="preserve"> </t>
  </si>
  <si>
    <t>นายวิศรุต คงสังข์</t>
  </si>
  <si>
    <t>ครูผู้สอน</t>
  </si>
  <si>
    <t>KB 149 346 0613</t>
  </si>
  <si>
    <t>นางสาววันวิสาข์ โสภา</t>
  </si>
  <si>
    <t>ครูผู้ช่วยสอน</t>
  </si>
  <si>
    <t>KTB 050 327 2873</t>
  </si>
  <si>
    <t>Mr. Nay Min Thet</t>
  </si>
  <si>
    <t>KB 189 137 5901</t>
  </si>
  <si>
    <t>Ms.Yanglin</t>
  </si>
  <si>
    <t>BBL 152 502 2164</t>
  </si>
  <si>
    <t>นาย กฤษดา ศรีเบญจรัตน์</t>
  </si>
  <si>
    <t>KB 157 169 6742</t>
  </si>
  <si>
    <t>นายนภัทร แก้วทับใส</t>
  </si>
  <si>
    <t>KB 006 133 1247</t>
  </si>
  <si>
    <t>นางสาวธัณณ์ทินันท์ วชิรพงศ์</t>
  </si>
  <si>
    <t>KB 0298246848</t>
  </si>
  <si>
    <t>Mr. Liu Daicheng</t>
  </si>
  <si>
    <t>นางสาวณัฐธยาน์ โอฬารเลิศกุล</t>
  </si>
  <si>
    <t>KB 751 253 4494</t>
  </si>
  <si>
    <t>Mr.Ma Ziming</t>
  </si>
  <si>
    <t>BBl 152 502 2420</t>
  </si>
  <si>
    <t>นาย เทวราช  รักงาม</t>
  </si>
  <si>
    <t>โปรแกรมเมอร์</t>
  </si>
  <si>
    <t>KB 026 384 5285</t>
  </si>
  <si>
    <t>นายจืรทีปต์ ล้ำวาสนา</t>
  </si>
  <si>
    <t>KB 011 290 4190</t>
  </si>
  <si>
    <t>นายนพดล ชัยปินตา</t>
  </si>
  <si>
    <t>KB 210 847 3994</t>
  </si>
  <si>
    <t>พนักงานคอมพิวเตอร์</t>
  </si>
  <si>
    <t>บริษัท อินฟินิท เบรน จำกัด (สำนักงานใหญ่)</t>
  </si>
  <si>
    <t>555/9 ม.1 ต.บางขนุน อ.บางกรวย จ.นนทบุรี 11130</t>
  </si>
  <si>
    <t>เลขประจำตัวผู้เสียภาษี : 0125563031038</t>
  </si>
  <si>
    <t>ใบจ่ายเงินเดือน/ค่าจ้าง/เงินประจำตำแหน่ง</t>
  </si>
  <si>
    <t>ขื่อ-นามสกุล</t>
  </si>
  <si>
    <t>บัญชีธนาคาร</t>
  </si>
  <si>
    <t>รายได้</t>
  </si>
  <si>
    <t>จำนวน</t>
  </si>
  <si>
    <t>จำนวนเงิน</t>
  </si>
  <si>
    <t>รายการหัก</t>
  </si>
  <si>
    <t>วันที่จ่าย</t>
  </si>
  <si>
    <t xml:space="preserve">  เงินเดือน</t>
  </si>
  <si>
    <t xml:space="preserve"> ประกันสังคม</t>
  </si>
  <si>
    <t xml:space="preserve"> ภาษีรายได้ประจำปี</t>
  </si>
  <si>
    <t xml:space="preserve">  คอมมิสชั่น</t>
  </si>
  <si>
    <t>x 3%</t>
  </si>
  <si>
    <t>เงินรับสุทธิ</t>
  </si>
  <si>
    <t>รวมเงินได้</t>
  </si>
  <si>
    <t>รวมรายการหัก</t>
  </si>
  <si>
    <t>ผู้รับ</t>
  </si>
  <si>
    <t>นาทีละ</t>
  </si>
  <si>
    <t>บาท/ชั่วโมง</t>
  </si>
  <si>
    <t>ชั่วโมง</t>
  </si>
  <si>
    <t xml:space="preserve">  สอนพิเศษ เลข</t>
  </si>
  <si>
    <t xml:space="preserve">  สอนพิเศษ วิทย์</t>
  </si>
  <si>
    <t>KB 050 327 2873</t>
  </si>
  <si>
    <t>บาท/วัน</t>
  </si>
  <si>
    <t>วัน</t>
  </si>
  <si>
    <t>นายไอศูรย์ คงสำรวย</t>
  </si>
  <si>
    <t>พนักงานขับรถ</t>
  </si>
  <si>
    <t>นายเทวราช รักงาม</t>
  </si>
  <si>
    <t>วันละ</t>
  </si>
  <si>
    <t xml:space="preserve"> หักเข้าเงินสำรองฯ</t>
  </si>
  <si>
    <t>นางสาวชัชฎา สิริธนกุล</t>
  </si>
  <si>
    <t>ธุรการ</t>
  </si>
  <si>
    <t>Mr.Nay Min Thet</t>
  </si>
  <si>
    <t>นางสาวประเพ็ญพร นิวงษา</t>
  </si>
  <si>
    <t>นางสาวแพรวา สนิท</t>
  </si>
  <si>
    <t>นายกฤษดา ศรีเบญจรัตน์</t>
  </si>
  <si>
    <t>ผู้ช่วยสอน</t>
  </si>
  <si>
    <t>นายนภัส แก้วใสทับ</t>
  </si>
  <si>
    <t>Mr.Liu Daicheng</t>
  </si>
  <si>
    <t>KB 127 397 8476</t>
  </si>
  <si>
    <t xml:space="preserve">  ทดลองเรียน</t>
  </si>
  <si>
    <t>31 มกราคม 2569</t>
  </si>
  <si>
    <t>นางสาวสุวิมล เยาว์วรรณศิริ</t>
  </si>
  <si>
    <t>พนักงานพาร์ทไทม์</t>
  </si>
  <si>
    <t>KB 054 167 4241</t>
  </si>
  <si>
    <t>KB 029 824 6848</t>
  </si>
  <si>
    <t>SCB 419 165 8841</t>
  </si>
  <si>
    <t>ภาษี3%</t>
  </si>
  <si>
    <t>186/493 ม.5 ต.ปากเกร็ด อ.ปากเกร็ด จ.นนทบุรี 11120</t>
  </si>
  <si>
    <t>ไทย</t>
  </si>
  <si>
    <t>ชาย</t>
  </si>
  <si>
    <t>แมน</t>
  </si>
  <si>
    <t>1/210 ม.9 ต.บางพูด อ.ปากเกร็ด จ.นนทบุรี 11120</t>
  </si>
  <si>
    <t>ฮ๊อท</t>
  </si>
  <si>
    <t>ครูผู้สอนพาร์ทไทม์</t>
  </si>
  <si>
    <t>21/07/1998</t>
  </si>
  <si>
    <t>จีน</t>
  </si>
  <si>
    <t>หญิง</t>
  </si>
  <si>
    <t>โยทากา</t>
  </si>
  <si>
    <t>Ms.Wang Ying</t>
  </si>
  <si>
    <t>ยีนส์</t>
  </si>
  <si>
    <t>นางสาวสุรัชฎาพร พูลนิ่ม</t>
  </si>
  <si>
    <t>KB 021 247 7072</t>
  </si>
  <si>
    <t>ประชาสัมพันธ์</t>
  </si>
  <si>
    <t>นางสาวมุฑิตา นาคะพงษ์</t>
  </si>
  <si>
    <t>45/398 ม.9 ต.คลองขวาง อ.ไทรน้อย จ.นนทบุรี 11150</t>
  </si>
  <si>
    <t>พรีม</t>
  </si>
  <si>
    <t>นางสาว แพราวา สนิท</t>
  </si>
  <si>
    <t>ฟิลิปปินส์</t>
  </si>
  <si>
    <t>MJ</t>
  </si>
  <si>
    <t>Ms.Maria Josie Seva</t>
  </si>
  <si>
    <t>KTB 660 936 6012</t>
  </si>
  <si>
    <t>เจ</t>
  </si>
  <si>
    <t>นายนนทกร  เอื่ยมสง่า</t>
  </si>
  <si>
    <t>นายจารุกิตติ์ สุก๋า</t>
  </si>
  <si>
    <t>Ms.Danica Barcela Eduarte</t>
  </si>
  <si>
    <t>BBL 152 502 2420</t>
  </si>
  <si>
    <t>Ma</t>
  </si>
  <si>
    <t>นาย Ma Ziming</t>
  </si>
  <si>
    <t>BBL 152 502 6645</t>
  </si>
  <si>
    <t>30/01/1999</t>
  </si>
  <si>
    <t>JJ</t>
  </si>
  <si>
    <t>Mr.Zihao Liu</t>
  </si>
  <si>
    <t>ฟาง</t>
  </si>
  <si>
    <t>นางสาว ญานิศา โพธิ์งาม</t>
  </si>
  <si>
    <t>พร</t>
  </si>
  <si>
    <t>นางสาว ประเพ็ญพร นิวงษา</t>
  </si>
  <si>
    <t>2/03/1991</t>
  </si>
  <si>
    <t>พม่า</t>
  </si>
  <si>
    <t>Tomas</t>
  </si>
  <si>
    <t>นาย Nay Min Thet</t>
  </si>
  <si>
    <t>19/04/1999</t>
  </si>
  <si>
    <t>Peter</t>
  </si>
  <si>
    <t>Mr. Tao ShiBo</t>
  </si>
  <si>
    <t>106 ต.ปากคลองภาษีเจริญ อ.ภาษีเจริญ กทม. 10160</t>
  </si>
  <si>
    <t>วรรณ</t>
  </si>
  <si>
    <t>นางสาว ณัฐธยาน์ โอฬารเลิศกุล</t>
  </si>
  <si>
    <t>นางสาว ยูมูส จูน ฮาร์มอต ปีเตอร์</t>
  </si>
  <si>
    <t>นางสาว ชัชฎา สิริธนกุล</t>
  </si>
  <si>
    <t>KB 165 178 7986</t>
  </si>
  <si>
    <t>กราฟิก ดีไซน์</t>
  </si>
  <si>
    <t>29/2/2567</t>
  </si>
  <si>
    <t>อู๋</t>
  </si>
  <si>
    <t>นาย อภิวิชญ์ พันธุ์แก่นเพชร</t>
  </si>
  <si>
    <t>KB 162 878 0877</t>
  </si>
  <si>
    <t>อ๊อด</t>
  </si>
  <si>
    <t>นาย ศักดิ์อรินทร์ เดชาฤทธิ์</t>
  </si>
  <si>
    <t>KB 012 138 7905</t>
  </si>
  <si>
    <t>แอดมิน</t>
  </si>
  <si>
    <t>เฟิร์น</t>
  </si>
  <si>
    <t>นางสาว กนกนันท์ สุทธิ</t>
  </si>
  <si>
    <t>KB 034 178 9826</t>
  </si>
  <si>
    <t>แสตมป์</t>
  </si>
  <si>
    <t>นางสาว จิณห์จุฑา  เกษการ</t>
  </si>
  <si>
    <t>BBL 905 006 6340</t>
  </si>
  <si>
    <t>เบล</t>
  </si>
  <si>
    <t>นางสาว วณิชชา อัมพรต</t>
  </si>
  <si>
    <t>66/512 ม.5 ต.บางเมือง อ.เมือง จ.สมุทรปราการ 10270</t>
  </si>
  <si>
    <t>เต้าฮวย</t>
  </si>
  <si>
    <t>นางสาว อรอินทรา  เต็งประวัติ</t>
  </si>
  <si>
    <t>SCB 712 212 3299</t>
  </si>
  <si>
    <t>แอน</t>
  </si>
  <si>
    <t>นางสาว ปัญจพร  ซ้งยืนยง</t>
  </si>
  <si>
    <t>888 ต.คลองหก อ.คลองหลวง จ.ปทุมธานี 12120</t>
  </si>
  <si>
    <t>ภูมิ</t>
  </si>
  <si>
    <t>KB 158 383 6132</t>
  </si>
  <si>
    <t>เฟร้นช์</t>
  </si>
  <si>
    <t>นางสาว ฐิรนันท์ เมฆสุกใส</t>
  </si>
  <si>
    <t>8/313 ต.บางแค อ.บางแค กทม. 10160</t>
  </si>
  <si>
    <t>กอล์ฟ</t>
  </si>
  <si>
    <t xml:space="preserve">นาย กฤษดา ศรีเบญจรัตน์ </t>
  </si>
  <si>
    <t>KB 047 133 4081</t>
  </si>
  <si>
    <t>ฝึกงานกราฟฟิก</t>
  </si>
  <si>
    <t>แต้ม</t>
  </si>
  <si>
    <t>นางสาว ณัฐวราภรณ์ เกตุกัน</t>
  </si>
  <si>
    <t>KB 058 209 9857</t>
  </si>
  <si>
    <t>ทราย</t>
  </si>
  <si>
    <t>นางสาว กัญฐภา ชนสุภาพ</t>
  </si>
  <si>
    <t>ดีน</t>
  </si>
  <si>
    <t>นาย นภัส แก้วใสทับ</t>
  </si>
  <si>
    <t>KB 046 135 3797</t>
  </si>
  <si>
    <t>ฝ้าย</t>
  </si>
  <si>
    <t>นางสาวปนัดดา ศรีกิมแก้ว</t>
  </si>
  <si>
    <t>KB 098 875 9201</t>
  </si>
  <si>
    <t>เอ๋</t>
  </si>
  <si>
    <t>นางสาวอัญชลี ตาเต่า</t>
  </si>
  <si>
    <t>KB 016 348 2819</t>
  </si>
  <si>
    <t>นาย นเรนทร์ฤทธิ์ ปานฉลอง</t>
  </si>
  <si>
    <t>KB 070 148 7001</t>
  </si>
  <si>
    <t>ประสานงานต่างประเทศ</t>
  </si>
  <si>
    <t>นางสาว ลลิตา เหลือรักษ์</t>
  </si>
  <si>
    <t>KB 045 881 8584</t>
  </si>
  <si>
    <t>ประสานงาน</t>
  </si>
  <si>
    <t>นางสาว ศวิตา เดอร์วานี</t>
  </si>
  <si>
    <t>KB 097 381 7213</t>
  </si>
  <si>
    <t>เนย</t>
  </si>
  <si>
    <t>นางสาวปวรรัตน์ ชัยถาวร</t>
  </si>
  <si>
    <t>KB 022 343 6579</t>
  </si>
  <si>
    <t>56/139 ม.2 ต.ลำโพ อ.บางบัวทอง จ.นนทบุรี 11110</t>
  </si>
  <si>
    <t>หมี</t>
  </si>
  <si>
    <t>นายมานนท์ เหลี่ยมวิเศษ</t>
  </si>
  <si>
    <t>KB 785 230 8871</t>
  </si>
  <si>
    <t>นักวิชาการ</t>
  </si>
  <si>
    <t>เค</t>
  </si>
  <si>
    <t>นายธวัชชัย  เควิง</t>
  </si>
  <si>
    <t>KB 149 332 4930</t>
  </si>
  <si>
    <t>นางสาวพาขวัญ แสงทอง</t>
  </si>
  <si>
    <t>TMB 628 253 8856</t>
  </si>
  <si>
    <t>นางสาวธิรดา สุวรรณนที</t>
  </si>
  <si>
    <t>KB 064 346 8972</t>
  </si>
  <si>
    <t>29/022567</t>
  </si>
  <si>
    <t>โบว์</t>
  </si>
  <si>
    <t>นางสาวภัสรา  สาดา</t>
  </si>
  <si>
    <t>KB 133 847 5884</t>
  </si>
  <si>
    <t>นางสาวศศิธร คำหวาน</t>
  </si>
  <si>
    <t>KB 027 381 4442</t>
  </si>
  <si>
    <t>นางสาวศรุตา หอมสุวรรณ</t>
  </si>
  <si>
    <t>KB 726 255 5417</t>
  </si>
  <si>
    <t>นางสาวเมธาวี วงษ์สว่าง</t>
  </si>
  <si>
    <t>KTB 660 787 3332</t>
  </si>
  <si>
    <t>14/1 ม.4 ต.มหาสวัสดิ์ อ.เมือง จ.นนทบุรี 11130</t>
  </si>
  <si>
    <t>ยุ้ย</t>
  </si>
  <si>
    <t>BBL 008 033 2083</t>
  </si>
  <si>
    <t>นางสาวกิตติกา โคตรชมภู</t>
  </si>
  <si>
    <t>KB 129 381 7614</t>
  </si>
  <si>
    <t>Media Opertor</t>
  </si>
  <si>
    <t>นางสาวชาตินี อัครกุลวิบูลย์</t>
  </si>
  <si>
    <t>KB 006 874 5217</t>
  </si>
  <si>
    <t>นางสาวขนิษฐา ปฎิตัง</t>
  </si>
  <si>
    <t>KB 105 106 0683</t>
  </si>
  <si>
    <t>ตลาดออนไลน์</t>
  </si>
  <si>
    <t>นางสาว สมิตานัน ทัม</t>
  </si>
  <si>
    <t>KB 036 189 4928</t>
  </si>
  <si>
    <t>ช่วยผู้จัดการ</t>
  </si>
  <si>
    <t>31กค2566</t>
  </si>
  <si>
    <t>เจี๊ยบ</t>
  </si>
  <si>
    <t>นางสาวอุบลทิพย์ ไชยชนะ</t>
  </si>
  <si>
    <t>124/444 ม.4 ต.ตลาดขวัญ อ.เมือง จ.นนทบรี 11000</t>
  </si>
  <si>
    <t>ป้อ</t>
  </si>
  <si>
    <t>SCB 264 279 3215</t>
  </si>
  <si>
    <t>นายโชคศักดิ์ดา สารขัติ</t>
  </si>
  <si>
    <t>131/195 ม.11 ต.บางรักพัฒนา อ.บางบัวทอง จ.นนทบุรี 11110</t>
  </si>
  <si>
    <t>SCB 408 524 3774</t>
  </si>
  <si>
    <t>นางสาวหทัยรัตน์ ฮ้อธิวงศ์</t>
  </si>
  <si>
    <t>PP 082 147 4452</t>
  </si>
  <si>
    <t>นางสาวปรีญา กาดีโรจน์</t>
  </si>
  <si>
    <t>พนักงาน</t>
  </si>
  <si>
    <t>นางสาวจารุวรรณ เบ้านะโม</t>
  </si>
  <si>
    <t>แม่บ้าน</t>
  </si>
  <si>
    <t>84 ม.1 ต.บางขนุน อ.บางกรวย จ.นนทบุรี 11130</t>
  </si>
  <si>
    <t>5/02/1985</t>
  </si>
  <si>
    <t>กัมพูชา</t>
  </si>
  <si>
    <t>มอม</t>
  </si>
  <si>
    <t>KB 774 223 1970</t>
  </si>
  <si>
    <t>นางสาวพัชรา ศิริโฉม</t>
  </si>
  <si>
    <t>KB 006 362 3563</t>
  </si>
  <si>
    <t>ธุรการ17/10/2565</t>
  </si>
  <si>
    <t>นางสาวณัชนันท์ โกวิทย์</t>
  </si>
  <si>
    <t>ครูผู้สอน (ออก)</t>
  </si>
  <si>
    <t>นางสาวจารุวรรณ สิทธิพัฒนา</t>
  </si>
  <si>
    <t>124/246 ม.2 ต.มหาสวัสดิ์ อ.บางกรวย จ.นนทบุรี 11130</t>
  </si>
  <si>
    <t>หนึ่ง</t>
  </si>
  <si>
    <t>กรรมการ</t>
  </si>
  <si>
    <t>นางสาวลภัสรดา อินทราภรณ์</t>
  </si>
  <si>
    <t>ประธาน</t>
  </si>
  <si>
    <t>นายกมล สิริธนกุล</t>
  </si>
  <si>
    <t>อัตราค่าจ้าง</t>
  </si>
  <si>
    <t>ออก</t>
  </si>
  <si>
    <t>เริ่มทำงาน</t>
  </si>
  <si>
    <t>ที่อยู่</t>
  </si>
  <si>
    <t>วดป.เกิด</t>
  </si>
  <si>
    <t>สัญชาติ</t>
  </si>
  <si>
    <t>เพศ</t>
  </si>
  <si>
    <t>ชื่อเล่น</t>
  </si>
  <si>
    <t>ชื่อ - สกุล</t>
  </si>
  <si>
    <t>ประจำปี 2566</t>
  </si>
  <si>
    <t>ประวัติพนักงาน</t>
  </si>
  <si>
    <t xml:space="preserve">                        บริษัท อินฟินิท เบรน จำกัด (สำนักงานใหญ๋)</t>
  </si>
  <si>
    <t xml:space="preserve"> ภาษี ณ ที่จ่าย </t>
  </si>
  <si>
    <r>
      <rPr>
        <sz val="11"/>
        <color theme="0" tint="-0.499984740745262"/>
        <rFont val="Bahnschrift SemiLight Condensed"/>
        <family val="2"/>
      </rPr>
      <t>เดือน</t>
    </r>
    <r>
      <rPr>
        <sz val="11"/>
        <rFont val="Bahnschrift SemiLight Condensed"/>
        <family val="2"/>
      </rPr>
      <t xml:space="preserve"> มกราคม </t>
    </r>
    <r>
      <rPr>
        <sz val="11"/>
        <color theme="0" tint="-0.499984740745262"/>
        <rFont val="Bahnschrift SemiLight Condensed"/>
        <family val="2"/>
      </rPr>
      <t>2569</t>
    </r>
  </si>
  <si>
    <r>
      <t>รหัสเอกสาร</t>
    </r>
    <r>
      <rPr>
        <sz val="11"/>
        <color theme="1"/>
        <rFont val="Bahnschrift SemiLight Condensed"/>
        <family val="2"/>
      </rPr>
      <t xml:space="preserve"> </t>
    </r>
    <r>
      <rPr>
        <sz val="11"/>
        <rFont val="Bahnschrift SemiLight Condensed"/>
        <family val="2"/>
      </rPr>
      <t>A6901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</si>
</sst>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01041E]d\ mmmm\ yyyy;@"/>
    <numFmt numFmtId="165" formatCode="[$-F800]dddd\,\ mmmm\ dd\,\ yyyy"/>
    <numFmt numFmtId="166" formatCode="[$-1870000]d/mm/yyyy;@"/>
  </numFmts>
  <fonts count="60">
    <font>
      <sz val="11"/>
      <color theme="1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sz val="11"/>
      <color theme="1"/>
      <name val="Bahnschrift Light SemiCondensed"/>
      <family val="2"/>
    </font>
    <font>
      <sz val="9"/>
      <color theme="1"/>
      <name val="Bahnschrift Light SemiCondensed"/>
      <family val="2"/>
    </font>
    <font>
      <b/>
      <sz val="12"/>
      <name val="Bahnschrift Light SemiCondensed"/>
      <family val="2"/>
    </font>
    <font>
      <sz val="11"/>
      <color theme="1" tint="0.499984740745262"/>
      <name val="Bahnschrift Light SemiCondensed"/>
      <family val="2"/>
    </font>
    <font>
      <sz val="11"/>
      <name val="Bahnschrift Light SemiCondensed"/>
      <family val="2"/>
    </font>
    <font>
      <sz val="11"/>
      <color rgb="FFFF0000"/>
      <name val="Bahnschrift Light SemiCondensed"/>
      <family val="2"/>
    </font>
    <font>
      <sz val="11"/>
      <name val="Calibri"/>
      <family val="2"/>
      <charset val="222"/>
      <scheme val="minor"/>
    </font>
    <font>
      <sz val="9"/>
      <color rgb="FF0070C0"/>
      <name val="Leelawadee UI Semilight"/>
      <family val="2"/>
    </font>
    <font>
      <sz val="11"/>
      <name val="Bahnschrift Light Condensed"/>
      <family val="2"/>
    </font>
    <font>
      <sz val="11"/>
      <color theme="0"/>
      <name val="Calibri"/>
      <family val="2"/>
      <charset val="222"/>
      <scheme val="minor"/>
    </font>
    <font>
      <sz val="16"/>
      <name val="Angsana New"/>
      <family val="1"/>
    </font>
    <font>
      <sz val="10"/>
      <name val="Leelawadee UI Semilight"/>
      <family val="2"/>
    </font>
    <font>
      <sz val="10"/>
      <color rgb="FF0070C0"/>
      <name val="Leelawadee UI Semilight"/>
      <family val="2"/>
    </font>
    <font>
      <sz val="10"/>
      <color theme="1"/>
      <name val="Leelawadee UI Semilight"/>
      <family val="2"/>
    </font>
    <font>
      <sz val="10"/>
      <color theme="1" tint="0.499984740745262"/>
      <name val="Leelawadee UI Semilight"/>
      <family val="2"/>
    </font>
    <font>
      <sz val="10"/>
      <color theme="0" tint="-0.499984740745262"/>
      <name val="Leelawadee UI Semilight"/>
      <family val="2"/>
    </font>
    <font>
      <sz val="10"/>
      <color rgb="FFFF0000"/>
      <name val="Leelawadee UI Semilight"/>
      <family val="2"/>
    </font>
    <font>
      <sz val="10"/>
      <color theme="4" tint="-0.249977111117893"/>
      <name val="Leelawadee UI Semilight"/>
      <family val="2"/>
    </font>
    <font>
      <sz val="10"/>
      <color theme="4"/>
      <name val="Leelawadee UI Semilight"/>
      <family val="2"/>
    </font>
    <font>
      <b/>
      <sz val="11"/>
      <color rgb="FF0070C0"/>
      <name val="Leelawadee UI Semilight"/>
      <family val="2"/>
    </font>
    <font>
      <sz val="12"/>
      <color rgb="FF92D050"/>
      <name val="Bahnschrift Light SemiCondensed"/>
      <family val="2"/>
    </font>
    <font>
      <sz val="11"/>
      <color theme="0" tint="-4.9989318521683403E-2"/>
      <name val="Calibri"/>
      <family val="2"/>
      <charset val="222"/>
      <scheme val="minor"/>
    </font>
    <font>
      <sz val="10"/>
      <color theme="8" tint="-0.249977111117893"/>
      <name val="Leelawadee UI Semilight"/>
      <family val="2"/>
    </font>
    <font>
      <sz val="10"/>
      <color rgb="FFED0000"/>
      <name val="Leelawadee UI Semilight"/>
      <family val="2"/>
    </font>
    <font>
      <sz val="11"/>
      <color rgb="FF0070C0"/>
      <name val="Calibri"/>
      <family val="2"/>
      <charset val="222"/>
      <scheme val="minor"/>
    </font>
    <font>
      <sz val="9"/>
      <color theme="0" tint="-0.499984740745262"/>
      <name val="Leelawadee UI Semilight"/>
      <family val="2"/>
    </font>
    <font>
      <sz val="11"/>
      <color theme="8" tint="-0.249977111117893"/>
      <name val="Bahnschrift Light SemiCondensed"/>
      <family val="2"/>
    </font>
    <font>
      <sz val="11"/>
      <color theme="8" tint="-0.249977111117893"/>
      <name val="Bahnschrift Light Condensed"/>
      <family val="2"/>
    </font>
    <font>
      <sz val="11"/>
      <color rgb="FFED0000"/>
      <name val="Bahnschrift Light Condensed"/>
      <family val="2"/>
    </font>
    <font>
      <sz val="8"/>
      <name val="Calibri"/>
      <family val="2"/>
      <charset val="222"/>
      <scheme val="minor"/>
    </font>
    <font>
      <sz val="11"/>
      <color theme="1"/>
      <name val="Bahnschrift SemiLight SemiConde"/>
      <family val="2"/>
    </font>
    <font>
      <sz val="11"/>
      <color theme="0" tint="-0.499984740745262"/>
      <name val="Bahnschrift SemiLight SemiConde"/>
      <family val="2"/>
    </font>
    <font>
      <sz val="11"/>
      <color theme="1" tint="0.499984740745262"/>
      <name val="Bahnschrift SemiLight SemiConde"/>
      <family val="2"/>
    </font>
    <font>
      <sz val="11"/>
      <name val="Bahnschrift SemiLight SemiConde"/>
      <family val="2"/>
    </font>
    <font>
      <sz val="11"/>
      <color rgb="FFFF0000"/>
      <name val="Bahnschrift SemiLight SemiConde"/>
      <family val="2"/>
    </font>
    <font>
      <sz val="11"/>
      <color rgb="FFED0000"/>
      <name val="Bahnschrift SemiLight SemiConde"/>
      <family val="2"/>
    </font>
    <font>
      <b/>
      <sz val="11"/>
      <name val="Bahnschrift SemiLight SemiConde"/>
      <family val="2"/>
    </font>
    <font>
      <sz val="11"/>
      <color theme="1"/>
      <name val="Bahnschrift Light Condensed"/>
      <family val="2"/>
    </font>
    <font>
      <sz val="11"/>
      <color rgb="FFFF0000"/>
      <name val="Bahnschrift Light Condensed"/>
      <family val="2"/>
    </font>
    <font>
      <sz val="10"/>
      <color rgb="FFFF0000"/>
      <name val="Bahnschrift Light Condensed"/>
      <family val="2"/>
    </font>
    <font>
      <sz val="11"/>
      <color theme="5"/>
      <name val="Bahnschrift Light Condensed"/>
      <family val="2"/>
    </font>
    <font>
      <sz val="10"/>
      <color theme="5"/>
      <name val="Bahnschrift Light Condensed"/>
      <family val="2"/>
    </font>
    <font>
      <sz val="10"/>
      <name val="Bahnschrift Light Condensed"/>
      <family val="2"/>
    </font>
    <font>
      <sz val="10"/>
      <color rgb="FFED0000"/>
      <name val="Bahnschrift Light Condensed"/>
      <family val="2"/>
    </font>
    <font>
      <b/>
      <sz val="12"/>
      <color theme="1"/>
      <name val="Bahnschrift Light SemiCondensed"/>
      <family val="2"/>
    </font>
    <font>
      <sz val="12"/>
      <color rgb="FFFF0000"/>
      <name val="Bahnschrift Light SemiCondensed"/>
      <family val="2"/>
    </font>
    <font>
      <sz val="10"/>
      <color theme="1"/>
      <name val="Bahnschrift Light Condensed"/>
      <family val="2"/>
    </font>
    <font>
      <sz val="11"/>
      <color rgb="FF0070C0"/>
      <name val="Bahnschrift Light Condensed"/>
      <family val="2"/>
    </font>
    <font>
      <sz val="10"/>
      <color rgb="FF0070C0"/>
      <name val="Bahnschrift Light Condensed"/>
      <family val="2"/>
    </font>
    <font>
      <sz val="11"/>
      <color theme="1" tint="0.499984740745262"/>
      <name val="Bahnschrift Light Condensed"/>
      <family val="2"/>
    </font>
    <font>
      <sz val="16"/>
      <color theme="0" tint="-0.499984740745262"/>
      <name val="Angsana New"/>
      <family val="1"/>
      <charset val="222"/>
    </font>
    <font>
      <sz val="10"/>
      <color theme="0" tint="-0.499984740745262"/>
      <name val="Leelawadee UI Semilight"/>
      <family val="2"/>
      <charset val="222"/>
    </font>
    <font>
      <b/>
      <sz val="22"/>
      <name val="Angsana New"/>
      <family val="1"/>
    </font>
    <font>
      <b/>
      <sz val="20"/>
      <name val="Angsana New"/>
      <family val="1"/>
    </font>
    <font>
      <sz val="11"/>
      <name val="Bahnschrift SemiLight Condensed"/>
      <family val="2"/>
    </font>
    <font>
      <sz val="11"/>
      <color theme="0" tint="-0.499984740745262"/>
      <name val="Bahnschrift SemiLight Condensed"/>
      <family val="2"/>
    </font>
    <font>
      <sz val="11"/>
      <color theme="1"/>
      <name val="Bahnschrift SemiLight Condensed"/>
      <family val="2"/>
    </font>
    <font>
      <sz val="11"/>
      <color theme="1" tint="0.499984740745262"/>
      <name val="Bahnschrift SemiLight Condense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92D050"/>
      </bottom>
      <diagonal/>
    </border>
    <border>
      <left/>
      <right/>
      <top style="thin">
        <color rgb="FF92D05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92D05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92D05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/>
      <bottom style="dotted">
        <color auto="1"/>
      </bottom>
      <diagonal/>
    </border>
    <border>
      <left/>
      <right/>
      <top style="thin">
        <color rgb="FF92D050"/>
      </top>
      <bottom style="thin">
        <color rgb="FF92D050"/>
      </bottom>
      <diagonal/>
    </border>
  </borders>
  <cellStyleXfs count="1">
    <xf numFmtId="0" fontId="0" fillId="0" borderId="0"/>
  </cellStyleXfs>
  <cellXfs count="32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vertical="center"/>
    </xf>
    <xf numFmtId="0" fontId="8" fillId="2" borderId="0" xfId="0" applyFont="1" applyFill="1"/>
    <xf numFmtId="0" fontId="1" fillId="2" borderId="0" xfId="0" applyFont="1" applyFill="1"/>
    <xf numFmtId="0" fontId="10" fillId="2" borderId="0" xfId="0" applyFont="1" applyFill="1"/>
    <xf numFmtId="0" fontId="10" fillId="2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0" borderId="0" xfId="0" applyFont="1"/>
    <xf numFmtId="0" fontId="12" fillId="2" borderId="0" xfId="0" applyFont="1" applyFill="1" applyAlignment="1">
      <alignment horizontal="center" vertical="top"/>
    </xf>
    <xf numFmtId="0" fontId="14" fillId="2" borderId="0" xfId="0" applyFont="1" applyFill="1" applyAlignment="1">
      <alignment horizontal="left"/>
    </xf>
    <xf numFmtId="0" fontId="15" fillId="0" borderId="0" xfId="0" applyFont="1"/>
    <xf numFmtId="0" fontId="14" fillId="2" borderId="0" xfId="0" applyFont="1" applyFill="1"/>
    <xf numFmtId="0" fontId="11" fillId="3" borderId="0" xfId="0" applyFont="1" applyFill="1" applyAlignment="1">
      <alignment horizontal="left"/>
    </xf>
    <xf numFmtId="0" fontId="16" fillId="2" borderId="0" xfId="0" applyFont="1" applyFill="1" applyAlignment="1">
      <alignment horizontal="right"/>
    </xf>
    <xf numFmtId="0" fontId="15" fillId="2" borderId="0" xfId="0" applyFont="1" applyFill="1" applyAlignment="1">
      <alignment horizontal="left"/>
    </xf>
    <xf numFmtId="0" fontId="17" fillId="2" borderId="0" xfId="0" applyFont="1" applyFill="1" applyAlignment="1">
      <alignment horizontal="right"/>
    </xf>
    <xf numFmtId="0" fontId="15" fillId="2" borderId="0" xfId="0" applyFont="1" applyFill="1"/>
    <xf numFmtId="0" fontId="15" fillId="2" borderId="0" xfId="0" applyFont="1" applyFill="1" applyAlignment="1">
      <alignment horizontal="right"/>
    </xf>
    <xf numFmtId="0" fontId="13" fillId="2" borderId="4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/>
    </xf>
    <xf numFmtId="0" fontId="14" fillId="2" borderId="4" xfId="0" applyFont="1" applyFill="1" applyBorder="1"/>
    <xf numFmtId="4" fontId="14" fillId="2" borderId="4" xfId="0" applyNumberFormat="1" applyFont="1" applyFill="1" applyBorder="1"/>
    <xf numFmtId="3" fontId="15" fillId="2" borderId="5" xfId="0" applyNumberFormat="1" applyFont="1" applyFill="1" applyBorder="1" applyAlignment="1">
      <alignment horizontal="right"/>
    </xf>
    <xf numFmtId="10" fontId="14" fillId="2" borderId="4" xfId="0" applyNumberFormat="1" applyFont="1" applyFill="1" applyBorder="1" applyAlignment="1">
      <alignment horizontal="center"/>
    </xf>
    <xf numFmtId="4" fontId="14" fillId="2" borderId="4" xfId="0" applyNumberFormat="1" applyFont="1" applyFill="1" applyBorder="1" applyAlignment="1">
      <alignment horizontal="right"/>
    </xf>
    <xf numFmtId="3" fontId="15" fillId="2" borderId="0" xfId="0" applyNumberFormat="1" applyFont="1" applyFill="1" applyAlignment="1">
      <alignment horizontal="right"/>
    </xf>
    <xf numFmtId="49" fontId="9" fillId="2" borderId="11" xfId="0" applyNumberFormat="1" applyFont="1" applyFill="1" applyBorder="1" applyAlignment="1">
      <alignment horizontal="center"/>
    </xf>
    <xf numFmtId="164" fontId="14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/>
    <xf numFmtId="0" fontId="14" fillId="2" borderId="12" xfId="0" applyFont="1" applyFill="1" applyBorder="1" applyAlignment="1">
      <alignment horizontal="left"/>
    </xf>
    <xf numFmtId="0" fontId="18" fillId="2" borderId="0" xfId="0" applyFont="1" applyFill="1"/>
    <xf numFmtId="4" fontId="14" fillId="2" borderId="0" xfId="0" applyNumberFormat="1" applyFont="1" applyFill="1"/>
    <xf numFmtId="3" fontId="15" fillId="2" borderId="13" xfId="0" applyNumberFormat="1" applyFont="1" applyFill="1" applyBorder="1" applyAlignment="1">
      <alignment horizontal="right"/>
    </xf>
    <xf numFmtId="0" fontId="19" fillId="2" borderId="0" xfId="0" applyFont="1" applyFill="1" applyAlignment="1">
      <alignment horizontal="center"/>
    </xf>
    <xf numFmtId="4" fontId="14" fillId="2" borderId="0" xfId="0" applyNumberFormat="1" applyFont="1" applyFill="1" applyAlignment="1">
      <alignment horizontal="right"/>
    </xf>
    <xf numFmtId="3" fontId="15" fillId="2" borderId="13" xfId="0" applyNumberFormat="1" applyFont="1" applyFill="1" applyBorder="1" applyAlignment="1">
      <alignment horizontal="center"/>
    </xf>
    <xf numFmtId="3" fontId="15" fillId="2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3" fontId="9" fillId="2" borderId="0" xfId="0" applyNumberFormat="1" applyFont="1" applyFill="1"/>
    <xf numFmtId="4" fontId="9" fillId="2" borderId="0" xfId="0" applyNumberFormat="1" applyFont="1" applyFill="1"/>
    <xf numFmtId="0" fontId="17" fillId="2" borderId="12" xfId="0" applyFont="1" applyFill="1" applyBorder="1" applyAlignment="1">
      <alignment horizontal="center"/>
    </xf>
    <xf numFmtId="0" fontId="15" fillId="2" borderId="0" xfId="0" applyFont="1" applyFill="1" applyAlignment="1">
      <alignment horizontal="center"/>
    </xf>
    <xf numFmtId="4" fontId="15" fillId="2" borderId="0" xfId="0" applyNumberFormat="1" applyFont="1" applyFill="1" applyAlignment="1">
      <alignment horizontal="center"/>
    </xf>
    <xf numFmtId="0" fontId="20" fillId="2" borderId="0" xfId="0" applyFont="1" applyFill="1"/>
    <xf numFmtId="4" fontId="20" fillId="2" borderId="0" xfId="0" applyNumberFormat="1" applyFont="1" applyFill="1"/>
    <xf numFmtId="0" fontId="17" fillId="2" borderId="0" xfId="0" applyFont="1" applyFill="1" applyAlignment="1">
      <alignment horizontal="center"/>
    </xf>
    <xf numFmtId="0" fontId="17" fillId="2" borderId="0" xfId="0" applyFont="1" applyFill="1"/>
    <xf numFmtId="4" fontId="21" fillId="0" borderId="0" xfId="0" applyNumberFormat="1" applyFont="1" applyAlignment="1">
      <alignment horizontal="center" vertical="center"/>
    </xf>
    <xf numFmtId="0" fontId="15" fillId="2" borderId="7" xfId="0" applyFont="1" applyFill="1" applyBorder="1" applyAlignment="1">
      <alignment horizontal="center"/>
    </xf>
    <xf numFmtId="0" fontId="15" fillId="2" borderId="8" xfId="0" applyFont="1" applyFill="1" applyBorder="1" applyAlignment="1">
      <alignment horizontal="center"/>
    </xf>
    <xf numFmtId="0" fontId="15" fillId="2" borderId="8" xfId="0" applyFont="1" applyFill="1" applyBorder="1"/>
    <xf numFmtId="0" fontId="15" fillId="2" borderId="9" xfId="0" applyFont="1" applyFill="1" applyBorder="1"/>
    <xf numFmtId="0" fontId="17" fillId="2" borderId="7" xfId="0" applyFont="1" applyFill="1" applyBorder="1" applyAlignment="1">
      <alignment horizontal="center"/>
    </xf>
    <xf numFmtId="4" fontId="15" fillId="2" borderId="8" xfId="0" applyNumberFormat="1" applyFont="1" applyFill="1" applyBorder="1" applyAlignment="1">
      <alignment horizontal="center"/>
    </xf>
    <xf numFmtId="3" fontId="15" fillId="2" borderId="9" xfId="0" applyNumberFormat="1" applyFont="1" applyFill="1" applyBorder="1" applyAlignment="1">
      <alignment horizontal="center"/>
    </xf>
    <xf numFmtId="3" fontId="15" fillId="2" borderId="0" xfId="0" applyNumberFormat="1" applyFont="1" applyFill="1" applyAlignment="1">
      <alignment horizontal="center" vertical="center"/>
    </xf>
    <xf numFmtId="0" fontId="15" fillId="2" borderId="3" xfId="0" applyFont="1" applyFill="1" applyBorder="1"/>
    <xf numFmtId="0" fontId="15" fillId="2" borderId="4" xfId="0" applyFont="1" applyFill="1" applyBorder="1"/>
    <xf numFmtId="0" fontId="15" fillId="0" borderId="4" xfId="0" applyFont="1" applyBorder="1"/>
    <xf numFmtId="0" fontId="0" fillId="0" borderId="4" xfId="0" applyBorder="1"/>
    <xf numFmtId="3" fontId="15" fillId="2" borderId="5" xfId="0" applyNumberFormat="1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15" fillId="2" borderId="8" xfId="0" applyFont="1" applyFill="1" applyBorder="1" applyAlignment="1">
      <alignment vertical="center"/>
    </xf>
    <xf numFmtId="4" fontId="14" fillId="2" borderId="8" xfId="0" applyNumberFormat="1" applyFont="1" applyFill="1" applyBorder="1" applyAlignment="1">
      <alignment vertical="center"/>
    </xf>
    <xf numFmtId="3" fontId="15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vertical="center"/>
    </xf>
    <xf numFmtId="4" fontId="19" fillId="2" borderId="0" xfId="0" applyNumberFormat="1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11" fillId="3" borderId="17" xfId="0" applyFont="1" applyFill="1" applyBorder="1" applyAlignment="1">
      <alignment horizontal="left"/>
    </xf>
    <xf numFmtId="0" fontId="0" fillId="0" borderId="18" xfId="0" applyBorder="1"/>
    <xf numFmtId="0" fontId="23" fillId="3" borderId="18" xfId="0" applyFont="1" applyFill="1" applyBorder="1" applyAlignment="1">
      <alignment horizontal="center"/>
    </xf>
    <xf numFmtId="4" fontId="1" fillId="0" borderId="18" xfId="0" applyNumberFormat="1" applyFont="1" applyBorder="1" applyAlignment="1">
      <alignment horizontal="center"/>
    </xf>
    <xf numFmtId="4" fontId="24" fillId="2" borderId="4" xfId="0" applyNumberFormat="1" applyFont="1" applyFill="1" applyBorder="1"/>
    <xf numFmtId="0" fontId="14" fillId="2" borderId="3" xfId="0" applyFont="1" applyFill="1" applyBorder="1"/>
    <xf numFmtId="165" fontId="9" fillId="2" borderId="11" xfId="0" applyNumberFormat="1" applyFont="1" applyFill="1" applyBorder="1" applyAlignment="1">
      <alignment horizontal="center"/>
    </xf>
    <xf numFmtId="165" fontId="14" fillId="2" borderId="0" xfId="0" applyNumberFormat="1" applyFont="1" applyFill="1" applyAlignment="1">
      <alignment horizontal="center"/>
    </xf>
    <xf numFmtId="0" fontId="19" fillId="2" borderId="0" xfId="0" applyFont="1" applyFill="1"/>
    <xf numFmtId="4" fontId="18" fillId="2" borderId="0" xfId="0" applyNumberFormat="1" applyFont="1" applyFill="1"/>
    <xf numFmtId="0" fontId="19" fillId="2" borderId="12" xfId="0" applyFont="1" applyFill="1" applyBorder="1" applyAlignment="1">
      <alignment horizontal="center"/>
    </xf>
    <xf numFmtId="4" fontId="19" fillId="2" borderId="0" xfId="0" applyNumberFormat="1" applyFont="1" applyFill="1" applyAlignment="1">
      <alignment horizontal="center"/>
    </xf>
    <xf numFmtId="4" fontId="1" fillId="0" borderId="19" xfId="0" applyNumberFormat="1" applyFont="1" applyBorder="1" applyAlignment="1">
      <alignment horizontal="center"/>
    </xf>
    <xf numFmtId="3" fontId="19" fillId="2" borderId="0" xfId="0" applyNumberFormat="1" applyFont="1" applyFill="1"/>
    <xf numFmtId="0" fontId="0" fillId="0" borderId="20" xfId="0" applyBorder="1" applyAlignment="1">
      <alignment horizontal="center"/>
    </xf>
    <xf numFmtId="4" fontId="14" fillId="2" borderId="4" xfId="0" applyNumberFormat="1" applyFont="1" applyFill="1" applyBorder="1" applyAlignment="1">
      <alignment vertical="center"/>
    </xf>
    <xf numFmtId="0" fontId="14" fillId="2" borderId="8" xfId="0" applyFont="1" applyFill="1" applyBorder="1" applyAlignment="1">
      <alignment vertical="center"/>
    </xf>
    <xf numFmtId="0" fontId="14" fillId="2" borderId="12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4" fontId="24" fillId="2" borderId="0" xfId="0" applyNumberFormat="1" applyFont="1" applyFill="1"/>
    <xf numFmtId="10" fontId="14" fillId="2" borderId="4" xfId="0" applyNumberFormat="1" applyFont="1" applyFill="1" applyBorder="1" applyAlignment="1">
      <alignment horizontal="right"/>
    </xf>
    <xf numFmtId="4" fontId="25" fillId="2" borderId="0" xfId="0" applyNumberFormat="1" applyFont="1" applyFill="1"/>
    <xf numFmtId="0" fontId="24" fillId="2" borderId="0" xfId="0" applyFont="1" applyFill="1"/>
    <xf numFmtId="3" fontId="14" fillId="2" borderId="0" xfId="0" applyNumberFormat="1" applyFont="1" applyFill="1"/>
    <xf numFmtId="0" fontId="14" fillId="2" borderId="8" xfId="0" applyFont="1" applyFill="1" applyBorder="1"/>
    <xf numFmtId="4" fontId="14" fillId="2" borderId="8" xfId="0" applyNumberFormat="1" applyFont="1" applyFill="1" applyBorder="1" applyAlignment="1">
      <alignment horizontal="right"/>
    </xf>
    <xf numFmtId="0" fontId="18" fillId="2" borderId="4" xfId="0" applyFont="1" applyFill="1" applyBorder="1"/>
    <xf numFmtId="4" fontId="24" fillId="2" borderId="4" xfId="0" applyNumberFormat="1" applyFont="1" applyFill="1" applyBorder="1" applyAlignment="1">
      <alignment horizontal="right"/>
    </xf>
    <xf numFmtId="0" fontId="26" fillId="2" borderId="0" xfId="0" applyFont="1" applyFill="1"/>
    <xf numFmtId="3" fontId="24" fillId="2" borderId="0" xfId="0" applyNumberFormat="1" applyFont="1" applyFill="1" applyAlignment="1">
      <alignment horizontal="center"/>
    </xf>
    <xf numFmtId="4" fontId="24" fillId="2" borderId="0" xfId="0" applyNumberFormat="1" applyFont="1" applyFill="1" applyAlignment="1">
      <alignment horizontal="center"/>
    </xf>
    <xf numFmtId="4" fontId="24" fillId="2" borderId="0" xfId="0" applyNumberFormat="1" applyFont="1" applyFill="1" applyAlignment="1">
      <alignment horizontal="right"/>
    </xf>
    <xf numFmtId="0" fontId="9" fillId="2" borderId="12" xfId="0" applyFont="1" applyFill="1" applyBorder="1"/>
    <xf numFmtId="0" fontId="24" fillId="2" borderId="0" xfId="0" applyFont="1" applyFill="1" applyAlignment="1">
      <alignment horizontal="right"/>
    </xf>
    <xf numFmtId="0" fontId="14" fillId="2" borderId="12" xfId="0" applyFont="1" applyFill="1" applyBorder="1"/>
    <xf numFmtId="0" fontId="24" fillId="2" borderId="12" xfId="0" applyFont="1" applyFill="1" applyBorder="1" applyAlignment="1">
      <alignment horizontal="left"/>
    </xf>
    <xf numFmtId="4" fontId="19" fillId="2" borderId="0" xfId="0" applyNumberFormat="1" applyFont="1" applyFill="1" applyAlignment="1">
      <alignment horizontal="right"/>
    </xf>
    <xf numFmtId="3" fontId="14" fillId="2" borderId="0" xfId="0" applyNumberFormat="1" applyFont="1" applyFill="1" applyAlignment="1">
      <alignment horizontal="right"/>
    </xf>
    <xf numFmtId="4" fontId="15" fillId="2" borderId="0" xfId="0" applyNumberFormat="1" applyFont="1" applyFill="1" applyAlignment="1">
      <alignment horizontal="right"/>
    </xf>
    <xf numFmtId="4" fontId="15" fillId="2" borderId="8" xfId="0" applyNumberFormat="1" applyFont="1" applyFill="1" applyBorder="1"/>
    <xf numFmtId="0" fontId="13" fillId="2" borderId="21" xfId="0" applyFont="1" applyFill="1" applyBorder="1" applyAlignment="1">
      <alignment horizontal="center"/>
    </xf>
    <xf numFmtId="0" fontId="0" fillId="0" borderId="0" xfId="0" applyAlignment="1">
      <alignment horizontal="right"/>
    </xf>
    <xf numFmtId="49" fontId="24" fillId="2" borderId="0" xfId="0" applyNumberFormat="1" applyFont="1" applyFill="1" applyAlignment="1">
      <alignment horizontal="center"/>
    </xf>
    <xf numFmtId="4" fontId="18" fillId="2" borderId="0" xfId="0" applyNumberFormat="1" applyFont="1" applyFill="1" applyAlignment="1">
      <alignment horizontal="center"/>
    </xf>
    <xf numFmtId="0" fontId="20" fillId="2" borderId="0" xfId="0" applyFont="1" applyFill="1" applyAlignment="1">
      <alignment horizontal="right"/>
    </xf>
    <xf numFmtId="49" fontId="18" fillId="2" borderId="0" xfId="0" applyNumberFormat="1" applyFont="1" applyFill="1" applyAlignment="1">
      <alignment horizontal="center"/>
    </xf>
    <xf numFmtId="0" fontId="19" fillId="2" borderId="12" xfId="0" applyFont="1" applyFill="1" applyBorder="1" applyAlignment="1">
      <alignment horizontal="left"/>
    </xf>
    <xf numFmtId="4" fontId="1" fillId="0" borderId="20" xfId="0" applyNumberFormat="1" applyFont="1" applyBorder="1" applyAlignment="1">
      <alignment horizontal="center"/>
    </xf>
    <xf numFmtId="0" fontId="9" fillId="2" borderId="0" xfId="0" applyFont="1" applyFill="1"/>
    <xf numFmtId="0" fontId="19" fillId="2" borderId="4" xfId="0" applyFont="1" applyFill="1" applyBorder="1"/>
    <xf numFmtId="0" fontId="27" fillId="2" borderId="0" xfId="0" applyFont="1" applyFill="1" applyAlignment="1">
      <alignment horizontal="center" vertical="center"/>
    </xf>
    <xf numFmtId="4" fontId="19" fillId="2" borderId="0" xfId="0" applyNumberFormat="1" applyFont="1" applyFill="1"/>
    <xf numFmtId="4" fontId="19" fillId="2" borderId="4" xfId="0" applyNumberFormat="1" applyFont="1" applyFill="1" applyBorder="1" applyAlignment="1">
      <alignment vertical="center"/>
    </xf>
    <xf numFmtId="4" fontId="19" fillId="2" borderId="8" xfId="0" applyNumberFormat="1" applyFont="1" applyFill="1" applyBorder="1" applyAlignment="1">
      <alignment vertical="center"/>
    </xf>
    <xf numFmtId="0" fontId="26" fillId="0" borderId="0" xfId="0" applyFont="1"/>
    <xf numFmtId="0" fontId="28" fillId="2" borderId="0" xfId="0" applyFont="1" applyFill="1" applyAlignment="1">
      <alignment vertical="center"/>
    </xf>
    <xf numFmtId="0" fontId="24" fillId="2" borderId="12" xfId="0" applyFont="1" applyFill="1" applyBorder="1"/>
    <xf numFmtId="0" fontId="24" fillId="2" borderId="0" xfId="0" applyFont="1" applyFill="1" applyAlignment="1">
      <alignment horizontal="center"/>
    </xf>
    <xf numFmtId="3" fontId="14" fillId="2" borderId="5" xfId="0" applyNumberFormat="1" applyFont="1" applyFill="1" applyBorder="1" applyAlignment="1">
      <alignment horizontal="right"/>
    </xf>
    <xf numFmtId="3" fontId="24" fillId="2" borderId="0" xfId="0" applyNumberFormat="1" applyFont="1" applyFill="1"/>
    <xf numFmtId="0" fontId="14" fillId="2" borderId="0" xfId="0" applyFont="1" applyFill="1" applyAlignment="1">
      <alignment horizontal="right"/>
    </xf>
    <xf numFmtId="0" fontId="24" fillId="2" borderId="4" xfId="0" applyFont="1" applyFill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3" fontId="18" fillId="2" borderId="0" xfId="0" applyNumberFormat="1" applyFont="1" applyFill="1" applyAlignment="1">
      <alignment horizontal="center"/>
    </xf>
    <xf numFmtId="0" fontId="18" fillId="2" borderId="0" xfId="0" applyFont="1" applyFill="1" applyAlignment="1">
      <alignment horizontal="right"/>
    </xf>
    <xf numFmtId="4" fontId="18" fillId="2" borderId="0" xfId="0" applyNumberFormat="1" applyFont="1" applyFill="1" applyAlignment="1">
      <alignment horizontal="right"/>
    </xf>
    <xf numFmtId="0" fontId="29" fillId="2" borderId="0" xfId="0" applyFont="1" applyFill="1" applyAlignment="1">
      <alignment horizontal="left"/>
    </xf>
    <xf numFmtId="0" fontId="24" fillId="2" borderId="0" xfId="0" applyFont="1" applyFill="1" applyAlignment="1">
      <alignment vertical="center"/>
    </xf>
    <xf numFmtId="3" fontId="25" fillId="2" borderId="0" xfId="0" applyNumberFormat="1" applyFont="1" applyFill="1" applyAlignment="1">
      <alignment horizontal="center"/>
    </xf>
    <xf numFmtId="4" fontId="25" fillId="2" borderId="0" xfId="0" applyNumberFormat="1" applyFont="1" applyFill="1" applyAlignment="1">
      <alignment horizontal="right"/>
    </xf>
    <xf numFmtId="0" fontId="30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0" fontId="20" fillId="2" borderId="12" xfId="0" applyFont="1" applyFill="1" applyBorder="1" applyAlignment="1">
      <alignment horizontal="center"/>
    </xf>
    <xf numFmtId="0" fontId="30" fillId="2" borderId="0" xfId="0" applyFont="1" applyFill="1"/>
    <xf numFmtId="0" fontId="32" fillId="2" borderId="1" xfId="0" applyFont="1" applyFill="1" applyBorder="1"/>
    <xf numFmtId="0" fontId="32" fillId="0" borderId="0" xfId="0" applyFont="1"/>
    <xf numFmtId="0" fontId="34" fillId="2" borderId="0" xfId="0" applyFont="1" applyFill="1" applyAlignment="1">
      <alignment horizontal="right"/>
    </xf>
    <xf numFmtId="0" fontId="32" fillId="2" borderId="1" xfId="0" applyFont="1" applyFill="1" applyBorder="1" applyAlignment="1">
      <alignment horizontal="center"/>
    </xf>
    <xf numFmtId="0" fontId="32" fillId="2" borderId="0" xfId="0" applyFont="1" applyFill="1"/>
    <xf numFmtId="0" fontId="33" fillId="0" borderId="0" xfId="0" applyFont="1" applyAlignment="1">
      <alignment horizontal="center"/>
    </xf>
    <xf numFmtId="0" fontId="33" fillId="2" borderId="0" xfId="0" applyFont="1" applyFill="1"/>
    <xf numFmtId="0" fontId="33" fillId="2" borderId="0" xfId="0" applyFont="1" applyFill="1" applyAlignment="1">
      <alignment horizontal="center"/>
    </xf>
    <xf numFmtId="4" fontId="36" fillId="2" borderId="0" xfId="0" applyNumberFormat="1" applyFont="1" applyFill="1"/>
    <xf numFmtId="4" fontId="36" fillId="2" borderId="0" xfId="0" applyNumberFormat="1" applyFont="1" applyFill="1" applyAlignment="1">
      <alignment horizontal="right"/>
    </xf>
    <xf numFmtId="4" fontId="35" fillId="2" borderId="0" xfId="0" applyNumberFormat="1" applyFont="1" applyFill="1" applyAlignment="1">
      <alignment horizontal="right"/>
    </xf>
    <xf numFmtId="4" fontId="35" fillId="2" borderId="0" xfId="0" applyNumberFormat="1" applyFont="1" applyFill="1" applyAlignment="1">
      <alignment horizontal="right" vertical="center"/>
    </xf>
    <xf numFmtId="4" fontId="32" fillId="2" borderId="0" xfId="0" applyNumberFormat="1" applyFont="1" applyFill="1"/>
    <xf numFmtId="4" fontId="36" fillId="2" borderId="0" xfId="0" applyNumberFormat="1" applyFont="1" applyFill="1" applyAlignment="1">
      <alignment horizontal="right" vertical="center"/>
    </xf>
    <xf numFmtId="4" fontId="35" fillId="2" borderId="0" xfId="0" applyNumberFormat="1" applyFont="1" applyFill="1"/>
    <xf numFmtId="0" fontId="33" fillId="2" borderId="0" xfId="0" applyFont="1" applyFill="1" applyAlignment="1">
      <alignment vertical="center"/>
    </xf>
    <xf numFmtId="4" fontId="37" fillId="2" borderId="0" xfId="0" applyNumberFormat="1" applyFont="1" applyFill="1" applyAlignment="1">
      <alignment horizontal="right"/>
    </xf>
    <xf numFmtId="4" fontId="36" fillId="2" borderId="0" xfId="0" applyNumberFormat="1" applyFont="1" applyFill="1" applyAlignment="1">
      <alignment vertical="center"/>
    </xf>
    <xf numFmtId="4" fontId="35" fillId="2" borderId="0" xfId="0" applyNumberFormat="1" applyFont="1" applyFill="1" applyAlignment="1">
      <alignment vertical="center"/>
    </xf>
    <xf numFmtId="0" fontId="35" fillId="2" borderId="0" xfId="0" applyFont="1" applyFill="1"/>
    <xf numFmtId="0" fontId="35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 vertical="center"/>
    </xf>
    <xf numFmtId="0" fontId="33" fillId="2" borderId="0" xfId="0" applyFont="1" applyFill="1" applyAlignment="1">
      <alignment horizontal="left"/>
    </xf>
    <xf numFmtId="0" fontId="33" fillId="2" borderId="0" xfId="0" applyFont="1" applyFill="1" applyAlignment="1">
      <alignment horizontal="right" vertical="center"/>
    </xf>
    <xf numFmtId="0" fontId="36" fillId="2" borderId="0" xfId="0" applyFont="1" applyFill="1"/>
    <xf numFmtId="4" fontId="32" fillId="2" borderId="0" xfId="0" applyNumberFormat="1" applyFont="1" applyFill="1" applyAlignment="1">
      <alignment horizontal="right" vertical="center"/>
    </xf>
    <xf numFmtId="0" fontId="33" fillId="0" borderId="0" xfId="0" applyFont="1" applyAlignment="1">
      <alignment horizontal="left"/>
    </xf>
    <xf numFmtId="0" fontId="32" fillId="2" borderId="0" xfId="0" applyFont="1" applyFill="1" applyAlignment="1">
      <alignment horizontal="center"/>
    </xf>
    <xf numFmtId="0" fontId="35" fillId="2" borderId="0" xfId="0" applyFont="1" applyFill="1" applyAlignment="1">
      <alignment horizontal="left"/>
    </xf>
    <xf numFmtId="0" fontId="33" fillId="2" borderId="2" xfId="0" applyFont="1" applyFill="1" applyBorder="1"/>
    <xf numFmtId="0" fontId="33" fillId="2" borderId="2" xfId="0" applyFont="1" applyFill="1" applyBorder="1" applyAlignment="1">
      <alignment horizontal="left"/>
    </xf>
    <xf numFmtId="0" fontId="33" fillId="0" borderId="0" xfId="0" applyFont="1"/>
    <xf numFmtId="4" fontId="38" fillId="2" borderId="0" xfId="0" applyNumberFormat="1" applyFont="1" applyFill="1" applyAlignment="1">
      <alignment horizontal="right" vertical="center"/>
    </xf>
    <xf numFmtId="0" fontId="8" fillId="0" borderId="0" xfId="0" applyFont="1"/>
    <xf numFmtId="3" fontId="10" fillId="2" borderId="0" xfId="0" applyNumberFormat="1" applyFont="1" applyFill="1"/>
    <xf numFmtId="0" fontId="39" fillId="2" borderId="0" xfId="0" applyFont="1" applyFill="1"/>
    <xf numFmtId="14" fontId="10" fillId="2" borderId="0" xfId="0" applyNumberFormat="1" applyFont="1" applyFill="1" applyAlignment="1">
      <alignment horizontal="left"/>
    </xf>
    <xf numFmtId="3" fontId="10" fillId="0" borderId="0" xfId="0" applyNumberFormat="1" applyFont="1"/>
    <xf numFmtId="14" fontId="10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3" fontId="10" fillId="2" borderId="0" xfId="0" applyNumberFormat="1" applyFont="1" applyFill="1" applyAlignment="1">
      <alignment vertical="center"/>
    </xf>
    <xf numFmtId="166" fontId="10" fillId="2" borderId="0" xfId="0" applyNumberFormat="1" applyFont="1" applyFill="1" applyAlignment="1">
      <alignment horizontal="left"/>
    </xf>
    <xf numFmtId="0" fontId="40" fillId="2" borderId="0" xfId="0" applyFont="1" applyFill="1" applyAlignment="1">
      <alignment vertical="center"/>
    </xf>
    <xf numFmtId="3" fontId="40" fillId="2" borderId="0" xfId="0" applyNumberFormat="1" applyFont="1" applyFill="1" applyAlignment="1">
      <alignment vertical="center"/>
    </xf>
    <xf numFmtId="0" fontId="40" fillId="2" borderId="0" xfId="0" applyFont="1" applyFill="1" applyAlignment="1">
      <alignment horizontal="left"/>
    </xf>
    <xf numFmtId="0" fontId="40" fillId="2" borderId="0" xfId="0" applyFont="1" applyFill="1"/>
    <xf numFmtId="0" fontId="39" fillId="2" borderId="0" xfId="0" applyFont="1" applyFill="1" applyAlignment="1">
      <alignment horizontal="left"/>
    </xf>
    <xf numFmtId="14" fontId="40" fillId="2" borderId="0" xfId="0" applyNumberFormat="1" applyFont="1" applyFill="1" applyAlignment="1">
      <alignment horizontal="left"/>
    </xf>
    <xf numFmtId="166" fontId="39" fillId="2" borderId="0" xfId="0" applyNumberFormat="1" applyFont="1" applyFill="1" applyAlignment="1">
      <alignment horizontal="left"/>
    </xf>
    <xf numFmtId="3" fontId="39" fillId="2" borderId="0" xfId="0" applyNumberFormat="1" applyFont="1" applyFill="1" applyAlignment="1">
      <alignment vertical="center"/>
    </xf>
    <xf numFmtId="14" fontId="39" fillId="2" borderId="0" xfId="0" applyNumberFormat="1" applyFont="1" applyFill="1" applyAlignment="1">
      <alignment horizontal="left"/>
    </xf>
    <xf numFmtId="14" fontId="30" fillId="2" borderId="0" xfId="0" applyNumberFormat="1" applyFont="1" applyFill="1" applyAlignment="1">
      <alignment horizontal="left"/>
    </xf>
    <xf numFmtId="14" fontId="41" fillId="2" borderId="0" xfId="0" applyNumberFormat="1" applyFont="1" applyFill="1" applyAlignment="1">
      <alignment horizontal="left"/>
    </xf>
    <xf numFmtId="3" fontId="30" fillId="2" borderId="0" xfId="0" applyNumberFormat="1" applyFont="1" applyFill="1" applyAlignment="1">
      <alignment vertical="center"/>
    </xf>
    <xf numFmtId="0" fontId="30" fillId="2" borderId="0" xfId="0" applyFont="1" applyFill="1" applyAlignment="1">
      <alignment horizontal="left"/>
    </xf>
    <xf numFmtId="0" fontId="10" fillId="2" borderId="0" xfId="0" applyFont="1" applyFill="1" applyAlignment="1">
      <alignment horizontal="center"/>
    </xf>
    <xf numFmtId="0" fontId="4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42" fillId="2" borderId="0" xfId="0" applyFont="1" applyFill="1" applyAlignment="1">
      <alignment vertical="center"/>
    </xf>
    <xf numFmtId="3" fontId="42" fillId="2" borderId="0" xfId="0" applyNumberFormat="1" applyFont="1" applyFill="1" applyAlignment="1">
      <alignment vertical="center"/>
    </xf>
    <xf numFmtId="0" fontId="42" fillId="2" borderId="0" xfId="0" applyFont="1" applyFill="1" applyAlignment="1">
      <alignment horizontal="left"/>
    </xf>
    <xf numFmtId="0" fontId="42" fillId="0" borderId="0" xfId="0" applyFont="1"/>
    <xf numFmtId="14" fontId="42" fillId="2" borderId="0" xfId="0" applyNumberFormat="1" applyFont="1" applyFill="1" applyAlignment="1">
      <alignment horizontal="left"/>
    </xf>
    <xf numFmtId="0" fontId="42" fillId="2" borderId="0" xfId="0" applyFont="1" applyFill="1"/>
    <xf numFmtId="0" fontId="42" fillId="2" borderId="0" xfId="0" applyFont="1" applyFill="1" applyAlignment="1">
      <alignment horizontal="center"/>
    </xf>
    <xf numFmtId="0" fontId="39" fillId="2" borderId="0" xfId="0" applyFont="1" applyFill="1" applyAlignment="1">
      <alignment vertical="center"/>
    </xf>
    <xf numFmtId="3" fontId="42" fillId="2" borderId="0" xfId="0" applyNumberFormat="1" applyFont="1" applyFill="1"/>
    <xf numFmtId="14" fontId="43" fillId="2" borderId="0" xfId="0" applyNumberFormat="1" applyFont="1" applyFill="1" applyAlignment="1">
      <alignment horizontal="left"/>
    </xf>
    <xf numFmtId="14" fontId="44" fillId="2" borderId="0" xfId="0" applyNumberFormat="1" applyFont="1" applyFill="1" applyAlignment="1">
      <alignment horizontal="left"/>
    </xf>
    <xf numFmtId="3" fontId="30" fillId="2" borderId="0" xfId="0" applyNumberFormat="1" applyFont="1" applyFill="1"/>
    <xf numFmtId="14" fontId="45" fillId="2" borderId="0" xfId="0" applyNumberFormat="1" applyFont="1" applyFill="1" applyAlignment="1">
      <alignment horizontal="left"/>
    </xf>
    <xf numFmtId="3" fontId="40" fillId="2" borderId="0" xfId="0" applyNumberFormat="1" applyFont="1" applyFill="1"/>
    <xf numFmtId="0" fontId="40" fillId="0" borderId="0" xfId="0" applyFont="1"/>
    <xf numFmtId="0" fontId="40" fillId="0" borderId="0" xfId="0" applyFont="1" applyAlignment="1">
      <alignment horizontal="left"/>
    </xf>
    <xf numFmtId="3" fontId="2" fillId="2" borderId="0" xfId="0" applyNumberFormat="1" applyFont="1" applyFill="1"/>
    <xf numFmtId="3" fontId="7" fillId="2" borderId="0" xfId="0" applyNumberFormat="1" applyFont="1" applyFill="1"/>
    <xf numFmtId="3" fontId="7" fillId="2" borderId="0" xfId="0" applyNumberFormat="1" applyFont="1" applyFill="1" applyAlignment="1">
      <alignment horizontal="center"/>
    </xf>
    <xf numFmtId="3" fontId="39" fillId="2" borderId="0" xfId="0" applyNumberFormat="1" applyFont="1" applyFill="1"/>
    <xf numFmtId="14" fontId="48" fillId="2" borderId="0" xfId="0" applyNumberFormat="1" applyFont="1" applyFill="1" applyAlignment="1">
      <alignment horizontal="left"/>
    </xf>
    <xf numFmtId="0" fontId="39" fillId="2" borderId="0" xfId="0" applyFont="1" applyFill="1" applyAlignment="1">
      <alignment horizontal="center"/>
    </xf>
    <xf numFmtId="3" fontId="6" fillId="2" borderId="0" xfId="0" applyNumberFormat="1" applyFont="1" applyFill="1"/>
    <xf numFmtId="3" fontId="6" fillId="2" borderId="0" xfId="0" applyNumberFormat="1" applyFont="1" applyFill="1" applyAlignment="1">
      <alignment horizontal="center"/>
    </xf>
    <xf numFmtId="0" fontId="43" fillId="2" borderId="0" xfId="0" applyFont="1" applyFill="1" applyAlignment="1">
      <alignment horizontal="left"/>
    </xf>
    <xf numFmtId="0" fontId="49" fillId="2" borderId="0" xfId="0" applyFont="1" applyFill="1"/>
    <xf numFmtId="0" fontId="50" fillId="2" borderId="0" xfId="0" applyFont="1" applyFill="1" applyAlignment="1">
      <alignment horizontal="left"/>
    </xf>
    <xf numFmtId="0" fontId="41" fillId="2" borderId="0" xfId="0" applyFont="1" applyFill="1" applyAlignment="1">
      <alignment horizontal="left"/>
    </xf>
    <xf numFmtId="0" fontId="5" fillId="2" borderId="0" xfId="0" applyFont="1" applyFill="1"/>
    <xf numFmtId="166" fontId="40" fillId="2" borderId="0" xfId="0" applyNumberFormat="1" applyFont="1" applyFill="1" applyAlignment="1">
      <alignment horizontal="left"/>
    </xf>
    <xf numFmtId="4" fontId="35" fillId="2" borderId="22" xfId="0" applyNumberFormat="1" applyFont="1" applyFill="1" applyBorder="1" applyAlignment="1">
      <alignment vertical="center"/>
    </xf>
    <xf numFmtId="4" fontId="19" fillId="2" borderId="0" xfId="0" applyNumberFormat="1" applyFont="1" applyFill="1" applyAlignment="1">
      <alignment vertical="center"/>
    </xf>
    <xf numFmtId="4" fontId="14" fillId="2" borderId="0" xfId="0" applyNumberFormat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vertical="center"/>
    </xf>
    <xf numFmtId="0" fontId="17" fillId="2" borderId="9" xfId="0" applyFon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top"/>
    </xf>
    <xf numFmtId="0" fontId="53" fillId="2" borderId="0" xfId="0" applyFont="1" applyFill="1" applyAlignment="1">
      <alignment horizontal="right"/>
    </xf>
    <xf numFmtId="0" fontId="54" fillId="2" borderId="0" xfId="0" applyFont="1" applyFill="1"/>
    <xf numFmtId="0" fontId="55" fillId="2" borderId="0" xfId="0" applyFont="1" applyFill="1"/>
    <xf numFmtId="0" fontId="58" fillId="2" borderId="1" xfId="0" applyFont="1" applyFill="1" applyBorder="1"/>
    <xf numFmtId="0" fontId="34" fillId="2" borderId="2" xfId="0" applyFont="1" applyFill="1" applyBorder="1" applyAlignment="1">
      <alignment horizontal="right" vertical="center"/>
    </xf>
    <xf numFmtId="0" fontId="34" fillId="2" borderId="1" xfId="0" applyFont="1" applyFill="1" applyBorder="1" applyAlignment="1">
      <alignment horizontal="right" vertical="center"/>
    </xf>
    <xf numFmtId="0" fontId="33" fillId="2" borderId="1" xfId="0" applyFont="1" applyFill="1" applyBorder="1" applyAlignment="1">
      <alignment horizontal="left"/>
    </xf>
    <xf numFmtId="0" fontId="33" fillId="2" borderId="2" xfId="0" applyFont="1" applyFill="1" applyBorder="1" applyAlignment="1">
      <alignment horizontal="left"/>
    </xf>
    <xf numFmtId="0" fontId="34" fillId="2" borderId="2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left" vertical="center"/>
    </xf>
    <xf numFmtId="0" fontId="34" fillId="2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/>
    </xf>
    <xf numFmtId="0" fontId="56" fillId="2" borderId="0" xfId="0" applyFont="1" applyFill="1" applyAlignment="1">
      <alignment horizontal="right"/>
    </xf>
    <xf numFmtId="0" fontId="59" fillId="2" borderId="1" xfId="0" applyFont="1" applyFill="1" applyBorder="1" applyAlignment="1">
      <alignment horizontal="right"/>
    </xf>
    <xf numFmtId="0" fontId="32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4" fillId="2" borderId="12" xfId="0" applyFont="1" applyFill="1" applyBorder="1" applyAlignment="1">
      <alignment horizontal="left"/>
    </xf>
    <xf numFmtId="0" fontId="14" fillId="2" borderId="0" xfId="0" applyFont="1" applyFill="1" applyAlignment="1">
      <alignment horizontal="left"/>
    </xf>
    <xf numFmtId="3" fontId="9" fillId="2" borderId="0" xfId="0" applyNumberFormat="1" applyFont="1" applyFill="1" applyAlignment="1">
      <alignment horizontal="right"/>
    </xf>
    <xf numFmtId="0" fontId="17" fillId="0" borderId="0" xfId="0" applyFont="1" applyAlignment="1">
      <alignment horizontal="right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4" fillId="2" borderId="12" xfId="0" applyFont="1" applyFill="1" applyBorder="1"/>
    <xf numFmtId="0" fontId="14" fillId="2" borderId="0" xfId="0" applyFont="1" applyFill="1"/>
    <xf numFmtId="4" fontId="21" fillId="0" borderId="14" xfId="0" applyNumberFormat="1" applyFont="1" applyBorder="1" applyAlignment="1">
      <alignment horizontal="center" vertical="center"/>
    </xf>
    <xf numFmtId="4" fontId="21" fillId="0" borderId="15" xfId="0" applyNumberFormat="1" applyFont="1" applyBorder="1" applyAlignment="1">
      <alignment horizontal="center" vertical="center"/>
    </xf>
    <xf numFmtId="0" fontId="17" fillId="2" borderId="4" xfId="0" applyFont="1" applyFill="1" applyBorder="1" applyAlignment="1">
      <alignment horizontal="right" vertical="center"/>
    </xf>
    <xf numFmtId="0" fontId="17" fillId="2" borderId="8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left"/>
    </xf>
    <xf numFmtId="0" fontId="14" fillId="2" borderId="7" xfId="0" applyFont="1" applyFill="1" applyBorder="1" applyAlignment="1">
      <alignment horizontal="left"/>
    </xf>
    <xf numFmtId="0" fontId="14" fillId="2" borderId="8" xfId="0" applyFont="1" applyFill="1" applyBorder="1" applyAlignment="1">
      <alignment horizontal="left"/>
    </xf>
    <xf numFmtId="4" fontId="14" fillId="2" borderId="4" xfId="0" applyNumberFormat="1" applyFont="1" applyFill="1" applyBorder="1" applyAlignment="1">
      <alignment horizontal="center" vertical="center"/>
    </xf>
    <xf numFmtId="4" fontId="14" fillId="2" borderId="8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/>
    </xf>
    <xf numFmtId="0" fontId="14" fillId="2" borderId="4" xfId="0" applyFont="1" applyFill="1" applyBorder="1" applyAlignment="1">
      <alignment horizontal="left"/>
    </xf>
    <xf numFmtId="0" fontId="14" fillId="2" borderId="8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left"/>
    </xf>
    <xf numFmtId="0" fontId="14" fillId="2" borderId="12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center"/>
    </xf>
    <xf numFmtId="4" fontId="14" fillId="2" borderId="4" xfId="0" applyNumberFormat="1" applyFont="1" applyFill="1" applyBorder="1" applyAlignment="1">
      <alignment vertical="center"/>
    </xf>
    <xf numFmtId="4" fontId="14" fillId="2" borderId="8" xfId="0" applyNumberFormat="1" applyFont="1" applyFill="1" applyBorder="1" applyAlignment="1">
      <alignment vertical="center"/>
    </xf>
    <xf numFmtId="0" fontId="14" fillId="2" borderId="7" xfId="0" applyFont="1" applyFill="1" applyBorder="1"/>
    <xf numFmtId="0" fontId="14" fillId="2" borderId="8" xfId="0" applyFont="1" applyFill="1" applyBorder="1"/>
    <xf numFmtId="0" fontId="14" fillId="2" borderId="3" xfId="0" applyFont="1" applyFill="1" applyBorder="1"/>
    <xf numFmtId="0" fontId="14" fillId="2" borderId="4" xfId="0" applyFont="1" applyFill="1" applyBorder="1"/>
    <xf numFmtId="0" fontId="19" fillId="2" borderId="12" xfId="0" applyFont="1" applyFill="1" applyBorder="1" applyAlignment="1">
      <alignment horizontal="left"/>
    </xf>
    <xf numFmtId="0" fontId="19" fillId="2" borderId="0" xfId="0" applyFont="1" applyFill="1" applyAlignment="1">
      <alignment horizontal="left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3" fontId="47" fillId="2" borderId="0" xfId="0" applyNumberFormat="1" applyFont="1" applyFill="1" applyAlignment="1">
      <alignment horizontal="center" vertical="center"/>
    </xf>
    <xf numFmtId="3" fontId="47" fillId="2" borderId="0" xfId="0" applyNumberFormat="1" applyFont="1" applyFill="1" applyAlignment="1">
      <alignment horizontal="right" vertical="center"/>
    </xf>
    <xf numFmtId="3" fontId="46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1" fillId="2" borderId="2" xfId="0" applyFont="1" applyFill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51" fillId="2" borderId="2" xfId="0" applyFont="1" applyFill="1" applyBorder="1" applyAlignment="1">
      <alignment horizontal="left" vertical="center"/>
    </xf>
    <xf numFmtId="0" fontId="51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29661" cy="927100"/>
    <xdr:pic>
      <xdr:nvPicPr>
        <xdr:cNvPr id="2" name="Picture 9">
          <a:extLst>
            <a:ext uri="{FF2B5EF4-FFF2-40B4-BE49-F238E27FC236}">
              <a16:creationId xmlns:a16="http://schemas.microsoft.com/office/drawing/2014/main" id="{6046ADBB-D7A3-421E-AAEE-6E395ED88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129661" cy="9271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225550" cy="1076229"/>
    <xdr:pic>
      <xdr:nvPicPr>
        <xdr:cNvPr id="2" name="Picture 1">
          <a:extLst>
            <a:ext uri="{FF2B5EF4-FFF2-40B4-BE49-F238E27FC236}">
              <a16:creationId xmlns:a16="http://schemas.microsoft.com/office/drawing/2014/main" id="{CA0A8087-25BD-4D8E-B3B8-C978001D4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20</xdr:row>
      <xdr:rowOff>0</xdr:rowOff>
    </xdr:from>
    <xdr:ext cx="1225550" cy="1076229"/>
    <xdr:pic>
      <xdr:nvPicPr>
        <xdr:cNvPr id="23" name="Picture 1">
          <a:extLst>
            <a:ext uri="{FF2B5EF4-FFF2-40B4-BE49-F238E27FC236}">
              <a16:creationId xmlns:a16="http://schemas.microsoft.com/office/drawing/2014/main" id="{17D72A5B-7EB8-4BBA-9B8C-ABCF10501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1000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39</xdr:row>
      <xdr:rowOff>0</xdr:rowOff>
    </xdr:from>
    <xdr:ext cx="1225550" cy="1076229"/>
    <xdr:pic>
      <xdr:nvPicPr>
        <xdr:cNvPr id="24" name="Picture 1">
          <a:extLst>
            <a:ext uri="{FF2B5EF4-FFF2-40B4-BE49-F238E27FC236}">
              <a16:creationId xmlns:a16="http://schemas.microsoft.com/office/drawing/2014/main" id="{6560F67D-53EC-43C0-A044-333702255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5374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58</xdr:row>
      <xdr:rowOff>0</xdr:rowOff>
    </xdr:from>
    <xdr:ext cx="1225550" cy="1076229"/>
    <xdr:pic>
      <xdr:nvPicPr>
        <xdr:cNvPr id="25" name="Picture 1">
          <a:extLst>
            <a:ext uri="{FF2B5EF4-FFF2-40B4-BE49-F238E27FC236}">
              <a16:creationId xmlns:a16="http://schemas.microsoft.com/office/drawing/2014/main" id="{5BEEBC1C-683C-4A91-8FE7-2A94D08E2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12966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77</xdr:row>
      <xdr:rowOff>0</xdr:rowOff>
    </xdr:from>
    <xdr:ext cx="1225550" cy="1076229"/>
    <xdr:pic>
      <xdr:nvPicPr>
        <xdr:cNvPr id="27" name="Picture 1">
          <a:extLst>
            <a:ext uri="{FF2B5EF4-FFF2-40B4-BE49-F238E27FC236}">
              <a16:creationId xmlns:a16="http://schemas.microsoft.com/office/drawing/2014/main" id="{0BCA47EC-F7EF-4142-A535-434BE8EC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50558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96</xdr:row>
      <xdr:rowOff>0</xdr:rowOff>
    </xdr:from>
    <xdr:ext cx="1225550" cy="1076229"/>
    <xdr:pic>
      <xdr:nvPicPr>
        <xdr:cNvPr id="28" name="Picture 1">
          <a:extLst>
            <a:ext uri="{FF2B5EF4-FFF2-40B4-BE49-F238E27FC236}">
              <a16:creationId xmlns:a16="http://schemas.microsoft.com/office/drawing/2014/main" id="{6FD8330B-4C7B-4C4C-9E95-BAF4D1159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8277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115</xdr:row>
      <xdr:rowOff>0</xdr:rowOff>
    </xdr:from>
    <xdr:ext cx="1225550" cy="1076229"/>
    <xdr:pic>
      <xdr:nvPicPr>
        <xdr:cNvPr id="29" name="Picture 1">
          <a:extLst>
            <a:ext uri="{FF2B5EF4-FFF2-40B4-BE49-F238E27FC236}">
              <a16:creationId xmlns:a16="http://schemas.microsoft.com/office/drawing/2014/main" id="{20B1F443-EE6E-4C0F-A8D4-96BAB9671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25996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134</xdr:row>
      <xdr:rowOff>0</xdr:rowOff>
    </xdr:from>
    <xdr:ext cx="1225550" cy="1076229"/>
    <xdr:pic>
      <xdr:nvPicPr>
        <xdr:cNvPr id="30" name="Picture 1">
          <a:extLst>
            <a:ext uri="{FF2B5EF4-FFF2-40B4-BE49-F238E27FC236}">
              <a16:creationId xmlns:a16="http://schemas.microsoft.com/office/drawing/2014/main" id="{0C739896-BB1F-48FF-BB14-CF467CF2C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63842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153</xdr:row>
      <xdr:rowOff>0</xdr:rowOff>
    </xdr:from>
    <xdr:ext cx="1225550" cy="1076229"/>
    <xdr:pic>
      <xdr:nvPicPr>
        <xdr:cNvPr id="32" name="Picture 1">
          <a:extLst>
            <a:ext uri="{FF2B5EF4-FFF2-40B4-BE49-F238E27FC236}">
              <a16:creationId xmlns:a16="http://schemas.microsoft.com/office/drawing/2014/main" id="{B99CA097-612E-45ED-A6EA-1B53F83E2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01561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172</xdr:row>
      <xdr:rowOff>19050</xdr:rowOff>
    </xdr:from>
    <xdr:ext cx="1225550" cy="1076229"/>
    <xdr:pic>
      <xdr:nvPicPr>
        <xdr:cNvPr id="33" name="Picture 1">
          <a:extLst>
            <a:ext uri="{FF2B5EF4-FFF2-40B4-BE49-F238E27FC236}">
              <a16:creationId xmlns:a16="http://schemas.microsoft.com/office/drawing/2014/main" id="{775BD730-FA43-49BF-9C7D-C9D72EB1C7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38645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192</xdr:row>
      <xdr:rowOff>0</xdr:rowOff>
    </xdr:from>
    <xdr:ext cx="1225550" cy="1076229"/>
    <xdr:pic>
      <xdr:nvPicPr>
        <xdr:cNvPr id="35" name="Picture 1">
          <a:extLst>
            <a:ext uri="{FF2B5EF4-FFF2-40B4-BE49-F238E27FC236}">
              <a16:creationId xmlns:a16="http://schemas.microsoft.com/office/drawing/2014/main" id="{A2933891-F229-41CF-957D-7E6BBC08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770630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211</xdr:row>
      <xdr:rowOff>0</xdr:rowOff>
    </xdr:from>
    <xdr:ext cx="1225550" cy="1076229"/>
    <xdr:pic>
      <xdr:nvPicPr>
        <xdr:cNvPr id="37" name="Picture 1">
          <a:extLst>
            <a:ext uri="{FF2B5EF4-FFF2-40B4-BE49-F238E27FC236}">
              <a16:creationId xmlns:a16="http://schemas.microsoft.com/office/drawing/2014/main" id="{5CDFFE84-0EA9-4350-9209-3E9955544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4718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230</xdr:row>
      <xdr:rowOff>0</xdr:rowOff>
    </xdr:from>
    <xdr:ext cx="1225550" cy="1076229"/>
    <xdr:pic>
      <xdr:nvPicPr>
        <xdr:cNvPr id="38" name="Picture 1">
          <a:extLst>
            <a:ext uri="{FF2B5EF4-FFF2-40B4-BE49-F238E27FC236}">
              <a16:creationId xmlns:a16="http://schemas.microsoft.com/office/drawing/2014/main" id="{627F372A-E471-4017-A62B-2AF1104334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52437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249</xdr:row>
      <xdr:rowOff>0</xdr:rowOff>
    </xdr:from>
    <xdr:ext cx="1225550" cy="1076229"/>
    <xdr:pic>
      <xdr:nvPicPr>
        <xdr:cNvPr id="39" name="Picture 1">
          <a:extLst>
            <a:ext uri="{FF2B5EF4-FFF2-40B4-BE49-F238E27FC236}">
              <a16:creationId xmlns:a16="http://schemas.microsoft.com/office/drawing/2014/main" id="{BDD940F2-89AE-4799-8EB8-529D4FAF2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89902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268</xdr:row>
      <xdr:rowOff>0</xdr:rowOff>
    </xdr:from>
    <xdr:ext cx="1225550" cy="1076229"/>
    <xdr:pic>
      <xdr:nvPicPr>
        <xdr:cNvPr id="40" name="Picture 1">
          <a:extLst>
            <a:ext uri="{FF2B5EF4-FFF2-40B4-BE49-F238E27FC236}">
              <a16:creationId xmlns:a16="http://schemas.microsoft.com/office/drawing/2014/main" id="{82E65430-0AE0-42D0-BA3A-0D6AC3B27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274310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287</xdr:row>
      <xdr:rowOff>0</xdr:rowOff>
    </xdr:from>
    <xdr:ext cx="1225550" cy="1076229"/>
    <xdr:pic>
      <xdr:nvPicPr>
        <xdr:cNvPr id="41" name="Picture 1">
          <a:extLst>
            <a:ext uri="{FF2B5EF4-FFF2-40B4-BE49-F238E27FC236}">
              <a16:creationId xmlns:a16="http://schemas.microsoft.com/office/drawing/2014/main" id="{DC841F39-1EDF-4B5C-AB11-E5A0C0B53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65213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306</xdr:row>
      <xdr:rowOff>0</xdr:rowOff>
    </xdr:from>
    <xdr:ext cx="1225550" cy="1076229"/>
    <xdr:pic>
      <xdr:nvPicPr>
        <xdr:cNvPr id="42" name="Picture 1">
          <a:extLst>
            <a:ext uri="{FF2B5EF4-FFF2-40B4-BE49-F238E27FC236}">
              <a16:creationId xmlns:a16="http://schemas.microsoft.com/office/drawing/2014/main" id="{8A588EF0-4C53-4F31-B053-9ED199EA2F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036310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325</xdr:row>
      <xdr:rowOff>0</xdr:rowOff>
    </xdr:from>
    <xdr:ext cx="1225550" cy="1076229"/>
    <xdr:pic>
      <xdr:nvPicPr>
        <xdr:cNvPr id="43" name="Picture 1">
          <a:extLst>
            <a:ext uri="{FF2B5EF4-FFF2-40B4-BE49-F238E27FC236}">
              <a16:creationId xmlns:a16="http://schemas.microsoft.com/office/drawing/2014/main" id="{3EBF222C-A00D-446D-AE61-A21B13589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410960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344</xdr:row>
      <xdr:rowOff>0</xdr:rowOff>
    </xdr:from>
    <xdr:ext cx="1225550" cy="1076229"/>
    <xdr:pic>
      <xdr:nvPicPr>
        <xdr:cNvPr id="44" name="Picture 1">
          <a:extLst>
            <a:ext uri="{FF2B5EF4-FFF2-40B4-BE49-F238E27FC236}">
              <a16:creationId xmlns:a16="http://schemas.microsoft.com/office/drawing/2014/main" id="{11DFE65A-CC5A-4811-8A19-940D9BC61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79259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363</xdr:row>
      <xdr:rowOff>0</xdr:rowOff>
    </xdr:from>
    <xdr:ext cx="1225550" cy="1076229"/>
    <xdr:pic>
      <xdr:nvPicPr>
        <xdr:cNvPr id="45" name="Picture 1">
          <a:extLst>
            <a:ext uri="{FF2B5EF4-FFF2-40B4-BE49-F238E27FC236}">
              <a16:creationId xmlns:a16="http://schemas.microsoft.com/office/drawing/2014/main" id="{26417862-EFFA-40D7-8CC5-7AFBCBF53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1647050"/>
          <a:ext cx="1225550" cy="10762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382</xdr:row>
      <xdr:rowOff>0</xdr:rowOff>
    </xdr:from>
    <xdr:ext cx="1225550" cy="1076229"/>
    <xdr:pic>
      <xdr:nvPicPr>
        <xdr:cNvPr id="46" name="Picture 1">
          <a:extLst>
            <a:ext uri="{FF2B5EF4-FFF2-40B4-BE49-F238E27FC236}">
              <a16:creationId xmlns:a16="http://schemas.microsoft.com/office/drawing/2014/main" id="{BD6E6FDF-70C7-4C60-B43B-8CC046446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5380850"/>
          <a:ext cx="1225550" cy="1076229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12701</xdr:colOff>
      <xdr:row>0</xdr:row>
      <xdr:rowOff>19050</xdr:rowOff>
    </xdr:from>
    <xdr:ext cx="1168400" cy="1016043"/>
    <xdr:pic>
      <xdr:nvPicPr>
        <xdr:cNvPr id="2" name="Picture 1">
          <a:extLst>
            <a:ext uri="{FF2B5EF4-FFF2-40B4-BE49-F238E27FC236}">
              <a16:creationId xmlns:a16="http://schemas.microsoft.com/office/drawing/2014/main" id="{2BD8158D-7C20-42C3-83CC-9D82D9224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6" y="19050"/>
          <a:ext cx="1168400" cy="101604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er\OneDrive\INFINITEBRAIN\INFINITEBRAIN\&#3648;&#3591;&#3636;&#3609;&#3648;&#3604;&#3639;&#3629;&#3609;&#3611;&#3637;68.xlsx" TargetMode="External"/><Relationship Id="rId1" Type="http://schemas.openxmlformats.org/officeDocument/2006/relationships/externalLinkPath" Target="/Users/acer/OneDrive/INFINITEBRAIN/INFINITEBRAIN/&#3648;&#3591;&#3636;&#3609;&#3648;&#3604;&#3639;&#3629;&#3609;&#3611;&#3637;6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สรุปอินฟินิท เบรน68"/>
      <sheetName val="ธค68"/>
      <sheetName val="พย68"/>
      <sheetName val="ตค68"/>
      <sheetName val="กย68"/>
      <sheetName val="สค68"/>
      <sheetName val="กค68"/>
      <sheetName val="มิย68"/>
      <sheetName val="พค68"/>
      <sheetName val="เมย68"/>
      <sheetName val="มีค68"/>
      <sheetName val="กพ68"/>
      <sheetName val="มค68"/>
      <sheetName val="ประวัติ"/>
    </sheetNames>
    <sheetDataSet>
      <sheetData sheetId="0">
        <row r="76">
          <cell r="F76">
            <v>12500</v>
          </cell>
        </row>
        <row r="81">
          <cell r="F81">
            <v>25000</v>
          </cell>
        </row>
        <row r="82">
          <cell r="F82">
            <v>20000</v>
          </cell>
        </row>
        <row r="89">
          <cell r="F89">
            <v>18000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820EB-D38A-4ECD-9359-80FBD24965CF}">
  <dimension ref="A1:P31"/>
  <sheetViews>
    <sheetView tabSelected="1" workbookViewId="0">
      <selection activeCell="F31" sqref="F31"/>
    </sheetView>
  </sheetViews>
  <sheetFormatPr defaultRowHeight="15"/>
  <cols>
    <col min="1" max="1" width="3.28515625" customWidth="1"/>
    <col min="2" max="2" width="22.140625" customWidth="1"/>
    <col min="3" max="3" width="11.140625" customWidth="1"/>
    <col min="4" max="4" width="7.140625" customWidth="1"/>
    <col min="5" max="5" width="19" customWidth="1"/>
    <col min="6" max="6" width="11.140625" customWidth="1"/>
    <col min="7" max="7" width="10.28515625" customWidth="1"/>
    <col min="8" max="8" width="8.42578125" customWidth="1"/>
    <col min="9" max="9" width="7.7109375" customWidth="1"/>
    <col min="10" max="10" width="10.7109375" customWidth="1"/>
    <col min="11" max="11" width="10.5703125" customWidth="1"/>
    <col min="12" max="12" width="6.85546875" customWidth="1"/>
    <col min="13" max="13" width="6.42578125" customWidth="1"/>
    <col min="14" max="14" width="12.7109375" customWidth="1"/>
  </cols>
  <sheetData>
    <row r="1" spans="1:16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spans="1:16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/>
    </row>
    <row r="3" spans="1:16">
      <c r="A3" s="1"/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2"/>
    </row>
    <row r="4" spans="1:16" ht="31.5">
      <c r="A4" s="1"/>
      <c r="B4" s="1"/>
      <c r="C4" s="1"/>
      <c r="D4" s="1"/>
      <c r="E4" s="1"/>
      <c r="F4" s="255" t="s">
        <v>3</v>
      </c>
      <c r="G4" s="255"/>
      <c r="H4" s="256"/>
      <c r="I4" s="255"/>
      <c r="J4" s="255"/>
      <c r="K4" s="255"/>
      <c r="L4" s="255"/>
      <c r="M4" s="255"/>
      <c r="N4" s="255"/>
      <c r="O4" s="255"/>
    </row>
    <row r="5" spans="1:16" ht="15.75">
      <c r="A5" s="1"/>
      <c r="B5" s="1"/>
      <c r="C5" s="1"/>
      <c r="D5" s="1"/>
      <c r="E5" s="1"/>
      <c r="F5" s="4"/>
      <c r="G5" s="266"/>
      <c r="H5" s="266"/>
      <c r="I5" s="1"/>
      <c r="J5" s="1"/>
      <c r="K5" s="1"/>
      <c r="L5" s="1"/>
      <c r="M5" s="267" t="s">
        <v>302</v>
      </c>
      <c r="N5" s="267"/>
      <c r="O5" s="267"/>
    </row>
    <row r="6" spans="1:16">
      <c r="A6" s="260" t="s">
        <v>4</v>
      </c>
      <c r="B6" s="260"/>
      <c r="C6" s="157"/>
      <c r="D6" s="158"/>
      <c r="E6" s="156"/>
      <c r="F6" s="156"/>
      <c r="G6" s="269"/>
      <c r="H6" s="269"/>
      <c r="I6" s="160"/>
      <c r="J6" s="160"/>
      <c r="K6" s="158"/>
      <c r="L6" s="156"/>
      <c r="M6" s="257"/>
      <c r="N6" s="268" t="s">
        <v>303</v>
      </c>
      <c r="O6" s="268"/>
    </row>
    <row r="7" spans="1:16">
      <c r="A7" s="262" t="s">
        <v>5</v>
      </c>
      <c r="B7" s="264" t="s">
        <v>6</v>
      </c>
      <c r="C7" s="264" t="s">
        <v>7</v>
      </c>
      <c r="D7" s="262" t="s">
        <v>8</v>
      </c>
      <c r="E7" s="264" t="s">
        <v>9</v>
      </c>
      <c r="F7" s="258" t="s">
        <v>10</v>
      </c>
      <c r="G7" s="258" t="s">
        <v>11</v>
      </c>
      <c r="H7" s="258" t="s">
        <v>12</v>
      </c>
      <c r="I7" s="258" t="s">
        <v>13</v>
      </c>
      <c r="J7" s="258" t="s">
        <v>14</v>
      </c>
      <c r="K7" s="258" t="s">
        <v>15</v>
      </c>
      <c r="L7" s="258" t="s">
        <v>110</v>
      </c>
      <c r="M7" s="258" t="s">
        <v>13</v>
      </c>
      <c r="N7" s="258" t="s">
        <v>16</v>
      </c>
      <c r="O7" s="258" t="s">
        <v>17</v>
      </c>
    </row>
    <row r="8" spans="1:16">
      <c r="A8" s="263"/>
      <c r="B8" s="265"/>
      <c r="C8" s="265"/>
      <c r="D8" s="263"/>
      <c r="E8" s="265"/>
      <c r="F8" s="259"/>
      <c r="G8" s="259"/>
      <c r="H8" s="259"/>
      <c r="I8" s="259"/>
      <c r="J8" s="259"/>
      <c r="K8" s="259"/>
      <c r="L8" s="259"/>
      <c r="M8" s="259"/>
      <c r="N8" s="259"/>
      <c r="O8" s="259"/>
    </row>
    <row r="9" spans="1:16">
      <c r="A9" s="161">
        <v>1</v>
      </c>
      <c r="B9" s="162" t="s">
        <v>18</v>
      </c>
      <c r="C9" s="162" t="s">
        <v>19</v>
      </c>
      <c r="D9" s="163">
        <v>202103</v>
      </c>
      <c r="E9" s="162" t="s">
        <v>20</v>
      </c>
      <c r="F9" s="164">
        <v>30000</v>
      </c>
      <c r="G9" s="165"/>
      <c r="H9" s="166"/>
      <c r="I9" s="167">
        <f>มค69!F12</f>
        <v>896.61</v>
      </c>
      <c r="J9" s="168">
        <f>F9+I9+G9+H9</f>
        <v>30896.61</v>
      </c>
      <c r="K9" s="165">
        <f>IF(F9&lt;17500,F9*5%,17500*5%)</f>
        <v>875</v>
      </c>
      <c r="L9" s="165">
        <v>205</v>
      </c>
      <c r="M9" s="165"/>
      <c r="N9" s="165">
        <f>K9+L9+M9</f>
        <v>1080</v>
      </c>
      <c r="O9" s="168">
        <f>J9-N9</f>
        <v>29816.61</v>
      </c>
    </row>
    <row r="10" spans="1:16">
      <c r="A10" s="163">
        <v>2</v>
      </c>
      <c r="B10" s="162" t="s">
        <v>21</v>
      </c>
      <c r="C10" s="162" t="s">
        <v>22</v>
      </c>
      <c r="D10" s="163">
        <v>202107</v>
      </c>
      <c r="E10" s="162" t="s">
        <v>23</v>
      </c>
      <c r="F10" s="164">
        <v>12500</v>
      </c>
      <c r="G10" s="165"/>
      <c r="H10" s="165"/>
      <c r="I10" s="169"/>
      <c r="J10" s="170">
        <f t="shared" ref="J10" si="0">F10+I10+G10+H10</f>
        <v>12500</v>
      </c>
      <c r="K10" s="165">
        <f t="shared" ref="K10:K12" si="1">IF(F10&lt;17500,F10*5%,17500*5%)</f>
        <v>625</v>
      </c>
      <c r="L10" s="165"/>
      <c r="M10" s="165"/>
      <c r="N10" s="165">
        <f t="shared" ref="N10" si="2">K10+L10+M10</f>
        <v>625</v>
      </c>
      <c r="O10" s="168">
        <f t="shared" ref="O10" si="3">J10-N10</f>
        <v>11875</v>
      </c>
    </row>
    <row r="11" spans="1:16">
      <c r="A11" s="163">
        <v>3</v>
      </c>
      <c r="B11" s="162" t="s">
        <v>24</v>
      </c>
      <c r="C11" s="162" t="s">
        <v>25</v>
      </c>
      <c r="D11" s="163">
        <v>202141</v>
      </c>
      <c r="E11" s="171" t="s">
        <v>26</v>
      </c>
      <c r="F11" s="164">
        <v>20000</v>
      </c>
      <c r="G11" s="166"/>
      <c r="H11" s="166"/>
      <c r="I11" s="169"/>
      <c r="J11" s="168">
        <f>F11+I11+G11+H11</f>
        <v>20000</v>
      </c>
      <c r="K11" s="165">
        <f t="shared" si="1"/>
        <v>875</v>
      </c>
      <c r="L11" s="165"/>
      <c r="M11" s="172"/>
      <c r="N11" s="165">
        <f>K11+L11+M11</f>
        <v>875</v>
      </c>
      <c r="O11" s="168">
        <f>J11-N11</f>
        <v>19125</v>
      </c>
    </row>
    <row r="12" spans="1:16">
      <c r="A12" s="163">
        <v>4</v>
      </c>
      <c r="B12" s="162" t="s">
        <v>27</v>
      </c>
      <c r="C12" s="162" t="s">
        <v>28</v>
      </c>
      <c r="D12" s="163">
        <v>202159</v>
      </c>
      <c r="E12" s="171" t="s">
        <v>29</v>
      </c>
      <c r="F12" s="173">
        <v>18000</v>
      </c>
      <c r="G12" s="174"/>
      <c r="H12" s="175"/>
      <c r="I12" s="167"/>
      <c r="J12" s="168">
        <f>F12+I12+G12+H12</f>
        <v>18000</v>
      </c>
      <c r="K12" s="165">
        <f t="shared" si="1"/>
        <v>875</v>
      </c>
      <c r="L12" s="165"/>
      <c r="M12" s="165"/>
      <c r="N12" s="165">
        <f>K12+L12+M12</f>
        <v>875</v>
      </c>
      <c r="O12" s="168">
        <f>J12-N12</f>
        <v>17125</v>
      </c>
    </row>
    <row r="13" spans="1:16">
      <c r="A13" s="159"/>
      <c r="B13" s="156"/>
      <c r="C13" s="176"/>
      <c r="D13" s="156"/>
      <c r="E13" s="177" t="s">
        <v>14</v>
      </c>
      <c r="F13" s="244">
        <f>SUM(F9:F12)</f>
        <v>80500</v>
      </c>
      <c r="G13" s="244">
        <f t="shared" ref="G13:O13" si="4">SUM(G9:G12)</f>
        <v>0</v>
      </c>
      <c r="H13" s="244">
        <f t="shared" si="4"/>
        <v>0</v>
      </c>
      <c r="I13" s="244">
        <f t="shared" si="4"/>
        <v>896.61</v>
      </c>
      <c r="J13" s="244">
        <f t="shared" si="4"/>
        <v>81396.61</v>
      </c>
      <c r="K13" s="244">
        <f t="shared" si="4"/>
        <v>3250</v>
      </c>
      <c r="L13" s="244">
        <f t="shared" si="4"/>
        <v>205</v>
      </c>
      <c r="M13" s="244">
        <f t="shared" si="4"/>
        <v>0</v>
      </c>
      <c r="N13" s="244">
        <f t="shared" si="4"/>
        <v>3455</v>
      </c>
      <c r="O13" s="244">
        <f t="shared" si="4"/>
        <v>77941.61</v>
      </c>
    </row>
    <row r="14" spans="1:16">
      <c r="A14" s="261" t="s">
        <v>106</v>
      </c>
      <c r="B14" s="261"/>
      <c r="C14" s="178"/>
      <c r="D14" s="162"/>
      <c r="E14" s="179"/>
      <c r="F14" s="188"/>
      <c r="G14" s="188"/>
      <c r="H14" s="188"/>
      <c r="I14" s="188"/>
      <c r="J14" s="188"/>
      <c r="K14" s="188"/>
      <c r="L14" s="188"/>
      <c r="M14" s="188"/>
      <c r="N14" s="188"/>
      <c r="O14" s="188"/>
    </row>
    <row r="15" spans="1:16">
      <c r="A15" s="163">
        <v>1</v>
      </c>
      <c r="B15" s="162" t="s">
        <v>31</v>
      </c>
      <c r="C15" s="162" t="s">
        <v>35</v>
      </c>
      <c r="D15" s="163">
        <v>202113</v>
      </c>
      <c r="E15" s="162" t="s">
        <v>33</v>
      </c>
      <c r="F15" s="164">
        <f>มค69!F50</f>
        <v>5000</v>
      </c>
      <c r="G15" s="165">
        <f>มค69!F51</f>
        <v>2500</v>
      </c>
      <c r="H15" s="165"/>
      <c r="I15" s="169"/>
      <c r="J15" s="168">
        <f>F15+G15</f>
        <v>7500</v>
      </c>
      <c r="K15" s="168"/>
      <c r="L15" s="164">
        <f>J15*3%</f>
        <v>225</v>
      </c>
      <c r="M15" s="165"/>
      <c r="N15" s="165">
        <f>K15+L15+M15</f>
        <v>225</v>
      </c>
      <c r="O15" s="168">
        <f t="shared" ref="O15" si="5">J15-N15</f>
        <v>7275</v>
      </c>
    </row>
    <row r="16" spans="1:16">
      <c r="A16" s="163">
        <v>2</v>
      </c>
      <c r="B16" s="162" t="s">
        <v>34</v>
      </c>
      <c r="C16" s="162" t="s">
        <v>35</v>
      </c>
      <c r="D16" s="163">
        <v>202119</v>
      </c>
      <c r="E16" s="178" t="s">
        <v>36</v>
      </c>
      <c r="F16" s="164">
        <f>มค69!F69</f>
        <v>1800</v>
      </c>
      <c r="G16" s="165"/>
      <c r="H16" s="165"/>
      <c r="I16" s="169"/>
      <c r="J16" s="168">
        <f t="shared" ref="J16:J17" si="6">F16+I16+G16+H16</f>
        <v>1800</v>
      </c>
      <c r="K16" s="165"/>
      <c r="L16" s="164">
        <f t="shared" ref="L16:L24" si="7">J16*3%</f>
        <v>54</v>
      </c>
      <c r="M16" s="165"/>
      <c r="N16" s="165">
        <f t="shared" ref="N16:N24" si="8">K16+L16+M16</f>
        <v>54</v>
      </c>
      <c r="O16" s="168">
        <f>J16-N16</f>
        <v>1746</v>
      </c>
      <c r="P16" t="s">
        <v>30</v>
      </c>
    </row>
    <row r="17" spans="1:15">
      <c r="A17" s="163">
        <v>3</v>
      </c>
      <c r="B17" s="162" t="s">
        <v>37</v>
      </c>
      <c r="C17" s="178" t="s">
        <v>35</v>
      </c>
      <c r="D17" s="163">
        <v>202151</v>
      </c>
      <c r="E17" s="171" t="s">
        <v>38</v>
      </c>
      <c r="F17" s="173">
        <f>มค69!F164</f>
        <v>15200</v>
      </c>
      <c r="G17" s="165"/>
      <c r="H17" s="165"/>
      <c r="I17" s="169"/>
      <c r="J17" s="168">
        <f t="shared" si="6"/>
        <v>15200</v>
      </c>
      <c r="K17" s="165"/>
      <c r="L17" s="164">
        <f t="shared" si="7"/>
        <v>456</v>
      </c>
      <c r="M17" s="165"/>
      <c r="N17" s="165">
        <f t="shared" si="8"/>
        <v>456</v>
      </c>
      <c r="O17" s="168">
        <f t="shared" ref="O17:O18" si="9">J17-N17</f>
        <v>14744</v>
      </c>
    </row>
    <row r="18" spans="1:15">
      <c r="A18" s="163">
        <v>4</v>
      </c>
      <c r="B18" s="178" t="s">
        <v>39</v>
      </c>
      <c r="C18" s="178" t="s">
        <v>35</v>
      </c>
      <c r="D18" s="163"/>
      <c r="E18" s="171" t="s">
        <v>109</v>
      </c>
      <c r="F18" s="173">
        <f>มค69!F241</f>
        <v>3200</v>
      </c>
      <c r="G18" s="173"/>
      <c r="H18" s="180"/>
      <c r="I18" s="180"/>
      <c r="J18" s="168">
        <f>F18+I18+G18+H18</f>
        <v>3200</v>
      </c>
      <c r="K18" s="165"/>
      <c r="L18" s="164">
        <f t="shared" si="7"/>
        <v>96</v>
      </c>
      <c r="M18" s="165"/>
      <c r="N18" s="165">
        <f t="shared" si="8"/>
        <v>96</v>
      </c>
      <c r="O18" s="168">
        <f t="shared" si="9"/>
        <v>3104</v>
      </c>
    </row>
    <row r="19" spans="1:15">
      <c r="A19" s="163">
        <v>5</v>
      </c>
      <c r="B19" s="162" t="s">
        <v>41</v>
      </c>
      <c r="C19" s="178" t="s">
        <v>35</v>
      </c>
      <c r="D19" s="163">
        <v>202137</v>
      </c>
      <c r="E19" s="162" t="s">
        <v>42</v>
      </c>
      <c r="F19" s="173">
        <f>มค69!F222</f>
        <v>2000</v>
      </c>
      <c r="G19" s="173"/>
      <c r="H19" s="160"/>
      <c r="I19" s="160"/>
      <c r="J19" s="168">
        <f>F19+I19+G19+H19</f>
        <v>2000</v>
      </c>
      <c r="K19" s="165"/>
      <c r="L19" s="164">
        <f t="shared" si="7"/>
        <v>60</v>
      </c>
      <c r="M19" s="165"/>
      <c r="N19" s="165">
        <f t="shared" si="8"/>
        <v>60</v>
      </c>
      <c r="O19" s="168">
        <f>J19-N19</f>
        <v>1940</v>
      </c>
    </row>
    <row r="20" spans="1:15">
      <c r="A20" s="163">
        <v>6</v>
      </c>
      <c r="B20" s="162" t="s">
        <v>43</v>
      </c>
      <c r="C20" s="178" t="s">
        <v>35</v>
      </c>
      <c r="D20" s="163"/>
      <c r="E20" s="178" t="s">
        <v>44</v>
      </c>
      <c r="F20" s="164">
        <f>มค69!F260</f>
        <v>1000</v>
      </c>
      <c r="G20" s="165"/>
      <c r="H20" s="165"/>
      <c r="I20" s="181"/>
      <c r="J20" s="168">
        <f t="shared" ref="J20" si="10">F20+I20+G20+H20</f>
        <v>1000</v>
      </c>
      <c r="K20" s="165"/>
      <c r="L20" s="164">
        <f t="shared" si="7"/>
        <v>30</v>
      </c>
      <c r="M20" s="165"/>
      <c r="N20" s="165">
        <f t="shared" si="8"/>
        <v>30</v>
      </c>
      <c r="O20" s="168">
        <f t="shared" ref="O20" si="11">J20-N20</f>
        <v>970</v>
      </c>
    </row>
    <row r="21" spans="1:15">
      <c r="A21" s="163">
        <v>7</v>
      </c>
      <c r="B21" s="162" t="s">
        <v>45</v>
      </c>
      <c r="C21" s="178" t="s">
        <v>35</v>
      </c>
      <c r="D21" s="163"/>
      <c r="E21" s="171" t="s">
        <v>46</v>
      </c>
      <c r="F21" s="173">
        <f>มค69!F317</f>
        <v>3000</v>
      </c>
      <c r="G21" s="173"/>
      <c r="H21" s="160"/>
      <c r="I21" s="160"/>
      <c r="J21" s="168">
        <f>F21+I21+G21+H21</f>
        <v>3000</v>
      </c>
      <c r="K21" s="165"/>
      <c r="L21" s="164">
        <f t="shared" si="7"/>
        <v>90</v>
      </c>
      <c r="M21" s="165"/>
      <c r="N21" s="165">
        <f t="shared" si="8"/>
        <v>90</v>
      </c>
      <c r="O21" s="168">
        <f>J21-N21</f>
        <v>2910</v>
      </c>
    </row>
    <row r="22" spans="1:15">
      <c r="A22" s="163">
        <v>8</v>
      </c>
      <c r="B22" s="182" t="s">
        <v>47</v>
      </c>
      <c r="C22" s="178" t="s">
        <v>35</v>
      </c>
      <c r="D22" s="163"/>
      <c r="E22" s="171" t="s">
        <v>102</v>
      </c>
      <c r="F22" s="173">
        <f>มค69!F336</f>
        <v>3600</v>
      </c>
      <c r="G22" s="173"/>
      <c r="H22" s="160"/>
      <c r="I22" s="160"/>
      <c r="J22" s="168">
        <f>F22+I22+G22+H22</f>
        <v>3600</v>
      </c>
      <c r="K22" s="165"/>
      <c r="L22" s="164">
        <f t="shared" si="7"/>
        <v>108</v>
      </c>
      <c r="M22" s="165"/>
      <c r="N22" s="165">
        <f t="shared" si="8"/>
        <v>108</v>
      </c>
      <c r="O22" s="168">
        <f>J22-N22</f>
        <v>3492</v>
      </c>
    </row>
    <row r="23" spans="1:15">
      <c r="A23" s="163">
        <v>9</v>
      </c>
      <c r="B23" s="162" t="s">
        <v>48</v>
      </c>
      <c r="C23" s="178" t="s">
        <v>35</v>
      </c>
      <c r="D23" s="163">
        <v>202149</v>
      </c>
      <c r="E23" s="171" t="s">
        <v>49</v>
      </c>
      <c r="F23" s="164">
        <f>มค69!F355</f>
        <v>6600</v>
      </c>
      <c r="G23" s="173"/>
      <c r="H23" s="160"/>
      <c r="I23" s="160"/>
      <c r="J23" s="168">
        <f>F23+I23+G23+H23</f>
        <v>6600</v>
      </c>
      <c r="K23" s="165"/>
      <c r="L23" s="164">
        <f t="shared" si="7"/>
        <v>198</v>
      </c>
      <c r="M23" s="165"/>
      <c r="N23" s="165">
        <f t="shared" si="8"/>
        <v>198</v>
      </c>
      <c r="O23" s="168">
        <f>J23-N23</f>
        <v>6402</v>
      </c>
    </row>
    <row r="24" spans="1:15">
      <c r="A24" s="163">
        <v>10</v>
      </c>
      <c r="B24" s="162" t="s">
        <v>50</v>
      </c>
      <c r="C24" s="178" t="s">
        <v>35</v>
      </c>
      <c r="D24" s="163">
        <v>202165</v>
      </c>
      <c r="E24" s="171" t="s">
        <v>51</v>
      </c>
      <c r="F24" s="164">
        <f>มค69!F374</f>
        <v>1600</v>
      </c>
      <c r="G24" s="173">
        <f>มค69!F375</f>
        <v>300</v>
      </c>
      <c r="H24" s="160"/>
      <c r="I24" s="160"/>
      <c r="J24" s="168">
        <f>F24+I24+G24+H24</f>
        <v>1900</v>
      </c>
      <c r="K24" s="165"/>
      <c r="L24" s="164">
        <f t="shared" si="7"/>
        <v>57</v>
      </c>
      <c r="M24" s="165"/>
      <c r="N24" s="165">
        <f t="shared" si="8"/>
        <v>57</v>
      </c>
      <c r="O24" s="168">
        <f>J24-N24</f>
        <v>1843</v>
      </c>
    </row>
    <row r="25" spans="1:15">
      <c r="A25" s="163">
        <v>11</v>
      </c>
      <c r="B25" s="162" t="s">
        <v>105</v>
      </c>
      <c r="C25" s="178" t="s">
        <v>35</v>
      </c>
      <c r="D25" s="163"/>
      <c r="E25" s="171" t="s">
        <v>107</v>
      </c>
      <c r="F25" s="164">
        <f>มค69!F393</f>
        <v>2400</v>
      </c>
      <c r="G25" s="173"/>
      <c r="H25" s="160"/>
      <c r="I25" s="160"/>
      <c r="J25" s="168">
        <f>F25+I25+G25+H25</f>
        <v>2400</v>
      </c>
      <c r="K25" s="165"/>
      <c r="L25" s="164">
        <f t="shared" ref="L25" si="12">J25*3%</f>
        <v>72</v>
      </c>
      <c r="M25" s="165"/>
      <c r="N25" s="165">
        <f t="shared" ref="N25" si="13">K25+L25+M25</f>
        <v>72</v>
      </c>
      <c r="O25" s="168">
        <f>J25-N25</f>
        <v>2328</v>
      </c>
    </row>
    <row r="26" spans="1:15" ht="15.95" customHeight="1">
      <c r="A26" s="183"/>
      <c r="B26" s="160"/>
      <c r="C26" s="184"/>
      <c r="D26" s="160"/>
      <c r="E26" s="177" t="s">
        <v>14</v>
      </c>
      <c r="F26" s="244">
        <f>SUM(F15:F25)</f>
        <v>45400</v>
      </c>
      <c r="G26" s="244">
        <f t="shared" ref="G26:O26" si="14">SUM(G15:G25)</f>
        <v>2800</v>
      </c>
      <c r="H26" s="244">
        <f t="shared" si="14"/>
        <v>0</v>
      </c>
      <c r="I26" s="244">
        <f t="shared" si="14"/>
        <v>0</v>
      </c>
      <c r="J26" s="244">
        <f t="shared" si="14"/>
        <v>48200</v>
      </c>
      <c r="K26" s="244">
        <f t="shared" si="14"/>
        <v>0</v>
      </c>
      <c r="L26" s="244">
        <f t="shared" si="14"/>
        <v>1446</v>
      </c>
      <c r="M26" s="244">
        <f t="shared" si="14"/>
        <v>0</v>
      </c>
      <c r="N26" s="244">
        <f t="shared" si="14"/>
        <v>1446</v>
      </c>
      <c r="O26" s="244">
        <f t="shared" si="14"/>
        <v>46754</v>
      </c>
    </row>
    <row r="27" spans="1:15">
      <c r="A27" s="261" t="s">
        <v>59</v>
      </c>
      <c r="B27" s="261"/>
      <c r="C27" s="186"/>
      <c r="D27" s="185"/>
      <c r="E27" s="179"/>
      <c r="F27" s="188"/>
      <c r="G27" s="188"/>
      <c r="H27" s="188"/>
      <c r="I27" s="188"/>
      <c r="J27" s="188"/>
      <c r="K27" s="188"/>
      <c r="L27" s="188"/>
      <c r="M27" s="188"/>
      <c r="N27" s="188"/>
      <c r="O27" s="188"/>
    </row>
    <row r="28" spans="1:15">
      <c r="A28" s="163">
        <v>1</v>
      </c>
      <c r="B28" s="162" t="s">
        <v>52</v>
      </c>
      <c r="C28" s="162" t="s">
        <v>53</v>
      </c>
      <c r="D28" s="163">
        <v>202139</v>
      </c>
      <c r="E28" s="163" t="s">
        <v>54</v>
      </c>
      <c r="F28" s="170">
        <v>25000</v>
      </c>
      <c r="G28" s="165"/>
      <c r="H28" s="165"/>
      <c r="I28" s="169"/>
      <c r="J28" s="168">
        <f t="shared" ref="J28:J29" si="15">F28+I28+G28+H28</f>
        <v>25000</v>
      </c>
      <c r="K28" s="165">
        <f>IF(F28&lt;17500,F28*5%,17500*5%)</f>
        <v>875</v>
      </c>
      <c r="L28" s="165"/>
      <c r="M28" s="172">
        <f>มค69!J108</f>
        <v>256.94444444444446</v>
      </c>
      <c r="N28" s="165">
        <f t="shared" ref="N28:N30" si="16">K28+L28+M28</f>
        <v>1131.9444444444443</v>
      </c>
      <c r="O28" s="168">
        <f>J28-N28</f>
        <v>23868.055555555555</v>
      </c>
    </row>
    <row r="29" spans="1:15">
      <c r="A29" s="163">
        <v>2</v>
      </c>
      <c r="B29" s="162" t="s">
        <v>55</v>
      </c>
      <c r="C29" s="162" t="s">
        <v>53</v>
      </c>
      <c r="D29" s="163">
        <v>202164</v>
      </c>
      <c r="E29" s="163" t="s">
        <v>56</v>
      </c>
      <c r="F29" s="170">
        <v>22000</v>
      </c>
      <c r="G29" s="166"/>
      <c r="H29" s="165"/>
      <c r="I29" s="181"/>
      <c r="J29" s="168">
        <f t="shared" si="15"/>
        <v>22000</v>
      </c>
      <c r="K29" s="165">
        <f t="shared" ref="K29:K30" si="17">IF(F29&lt;17500,F29*5%,17500*5%)</f>
        <v>875</v>
      </c>
      <c r="L29" s="165"/>
      <c r="M29" s="165">
        <f>มค69!J280</f>
        <v>12.222222222222223</v>
      </c>
      <c r="N29" s="165">
        <f t="shared" si="16"/>
        <v>887.22222222222217</v>
      </c>
      <c r="O29" s="168">
        <f t="shared" ref="O29:O30" si="18">J29-N29</f>
        <v>21112.777777777777</v>
      </c>
    </row>
    <row r="30" spans="1:15">
      <c r="A30" s="163">
        <v>3</v>
      </c>
      <c r="B30" s="187" t="s">
        <v>57</v>
      </c>
      <c r="C30" s="162" t="s">
        <v>53</v>
      </c>
      <c r="D30" s="163">
        <v>202165</v>
      </c>
      <c r="E30" s="163" t="s">
        <v>58</v>
      </c>
      <c r="F30" s="170">
        <v>23000</v>
      </c>
      <c r="G30" s="174"/>
      <c r="H30" s="160"/>
      <c r="I30" s="160"/>
      <c r="J30" s="168">
        <f>F30+I30+G30+H30</f>
        <v>23000</v>
      </c>
      <c r="K30" s="165">
        <f t="shared" si="17"/>
        <v>875</v>
      </c>
      <c r="L30" s="165"/>
      <c r="M30" s="165">
        <f>มค69!J299</f>
        <v>0</v>
      </c>
      <c r="N30" s="165">
        <f t="shared" si="16"/>
        <v>875</v>
      </c>
      <c r="O30" s="168">
        <f t="shared" si="18"/>
        <v>22125</v>
      </c>
    </row>
    <row r="31" spans="1:15">
      <c r="A31" s="159"/>
      <c r="B31" s="156"/>
      <c r="C31" s="176"/>
      <c r="D31" s="156"/>
      <c r="E31" s="177" t="s">
        <v>14</v>
      </c>
      <c r="F31" s="244">
        <f>SUM(F28:F30)</f>
        <v>70000</v>
      </c>
      <c r="G31" s="244">
        <f t="shared" ref="G31:O31" si="19">SUM(G28:G30)</f>
        <v>0</v>
      </c>
      <c r="H31" s="244">
        <f t="shared" si="19"/>
        <v>0</v>
      </c>
      <c r="I31" s="244">
        <f t="shared" si="19"/>
        <v>0</v>
      </c>
      <c r="J31" s="244">
        <f t="shared" si="19"/>
        <v>70000</v>
      </c>
      <c r="K31" s="244">
        <f t="shared" si="19"/>
        <v>2625</v>
      </c>
      <c r="L31" s="244">
        <f t="shared" si="19"/>
        <v>0</v>
      </c>
      <c r="M31" s="244">
        <f t="shared" si="19"/>
        <v>269.16666666666669</v>
      </c>
      <c r="N31" s="244">
        <f t="shared" si="19"/>
        <v>2894.1666666666665</v>
      </c>
      <c r="O31" s="244">
        <f t="shared" si="19"/>
        <v>67105.833333333328</v>
      </c>
    </row>
  </sheetData>
  <mergeCells count="22">
    <mergeCell ref="G5:H5"/>
    <mergeCell ref="M5:O5"/>
    <mergeCell ref="N6:O6"/>
    <mergeCell ref="G6:H6"/>
    <mergeCell ref="M7:M8"/>
    <mergeCell ref="N7:N8"/>
    <mergeCell ref="O7:O8"/>
    <mergeCell ref="J7:J8"/>
    <mergeCell ref="K7:K8"/>
    <mergeCell ref="L7:L8"/>
    <mergeCell ref="G7:G8"/>
    <mergeCell ref="H7:H8"/>
    <mergeCell ref="F7:F8"/>
    <mergeCell ref="I7:I8"/>
    <mergeCell ref="A6:B6"/>
    <mergeCell ref="A14:B14"/>
    <mergeCell ref="A27:B27"/>
    <mergeCell ref="A7:A8"/>
    <mergeCell ref="B7:B8"/>
    <mergeCell ref="C7:C8"/>
    <mergeCell ref="D7:D8"/>
    <mergeCell ref="E7:E8"/>
  </mergeCells>
  <phoneticPr fontId="31" type="noConversion"/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7D35D-EF23-40D1-A7C0-43CE3D8FD6D4}">
  <dimension ref="A1:S401"/>
  <sheetViews>
    <sheetView topLeftCell="A16" workbookViewId="0">
      <selection activeCell="E164" sqref="E164"/>
    </sheetView>
  </sheetViews>
  <sheetFormatPr defaultRowHeight="15"/>
  <cols>
    <col min="1" max="1" width="3.140625" customWidth="1"/>
    <col min="2" max="2" width="8.140625" customWidth="1"/>
    <col min="3" max="3" width="0.85546875" customWidth="1"/>
    <col min="4" max="5" width="8.42578125" customWidth="1"/>
    <col min="6" max="6" width="9.140625" customWidth="1"/>
    <col min="7" max="7" width="0.7109375" customWidth="1"/>
    <col min="8" max="8" width="10.5703125" customWidth="1"/>
    <col min="9" max="9" width="9.28515625" customWidth="1"/>
    <col min="10" max="10" width="9.7109375" customWidth="1"/>
    <col min="11" max="11" width="0.7109375" customWidth="1"/>
    <col min="12" max="12" width="0.5703125" customWidth="1"/>
    <col min="13" max="13" width="12.42578125" customWidth="1"/>
    <col min="14" max="14" width="1.7109375" customWidth="1"/>
    <col min="15" max="15" width="10.140625" customWidth="1"/>
    <col min="17" max="17" width="15.85546875" customWidth="1"/>
  </cols>
  <sheetData>
    <row r="1" spans="1:19" ht="15" customHeight="1">
      <c r="A1" s="272" t="s">
        <v>60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12"/>
      <c r="Q1" s="12"/>
    </row>
    <row r="2" spans="1:19" ht="15" customHeight="1">
      <c r="A2" s="270" t="s">
        <v>61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3"/>
    </row>
    <row r="3" spans="1:19" ht="15" customHeight="1">
      <c r="A3" s="270" t="s">
        <v>62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3"/>
    </row>
    <row r="4" spans="1:19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9" ht="15" customHeight="1">
      <c r="A5" s="271" t="s">
        <v>63</v>
      </c>
      <c r="B5" s="271"/>
      <c r="C5" s="271"/>
      <c r="D5" s="271"/>
      <c r="E5" s="271"/>
      <c r="F5" s="271"/>
      <c r="G5" s="271"/>
      <c r="H5" s="271"/>
      <c r="I5" s="271"/>
      <c r="J5" s="271"/>
      <c r="K5" s="271"/>
      <c r="L5" s="271"/>
      <c r="M5" s="271"/>
      <c r="N5" s="1"/>
    </row>
    <row r="6" spans="1:19" ht="15" customHeight="1">
      <c r="A6" s="1"/>
      <c r="B6" s="1"/>
      <c r="C6" s="1"/>
      <c r="D6" s="15"/>
      <c r="E6" s="15"/>
      <c r="F6" s="15"/>
      <c r="G6" s="15"/>
      <c r="H6" s="15"/>
      <c r="I6" s="15"/>
      <c r="J6" s="15"/>
      <c r="K6" s="15"/>
      <c r="L6" s="15"/>
      <c r="M6" s="1"/>
      <c r="N6" s="1"/>
    </row>
    <row r="7" spans="1:19" ht="15" customHeight="1">
      <c r="A7" s="22" t="s">
        <v>8</v>
      </c>
      <c r="B7" s="274">
        <v>202103</v>
      </c>
      <c r="C7" s="274"/>
      <c r="D7" s="22" t="s">
        <v>64</v>
      </c>
      <c r="E7" s="274" t="s">
        <v>18</v>
      </c>
      <c r="F7" s="274"/>
      <c r="G7" s="17"/>
      <c r="H7" s="22" t="s">
        <v>7</v>
      </c>
      <c r="I7" s="16" t="s">
        <v>19</v>
      </c>
      <c r="J7" s="276" t="s">
        <v>65</v>
      </c>
      <c r="K7" s="276"/>
      <c r="L7" s="276"/>
      <c r="M7" s="18" t="s">
        <v>20</v>
      </c>
      <c r="N7" s="18"/>
      <c r="O7" s="19">
        <v>1</v>
      </c>
      <c r="S7" t="s">
        <v>30</v>
      </c>
    </row>
    <row r="8" spans="1:19" ht="15" customHeight="1">
      <c r="A8" s="20"/>
      <c r="B8" s="20"/>
      <c r="C8" s="21"/>
      <c r="D8" s="22"/>
      <c r="E8" s="22"/>
      <c r="F8" s="23"/>
      <c r="G8" s="17"/>
      <c r="H8" s="22"/>
      <c r="I8" s="21"/>
      <c r="J8" s="24"/>
      <c r="K8" s="24"/>
      <c r="L8" s="24"/>
      <c r="M8" s="23"/>
      <c r="N8" s="23"/>
    </row>
    <row r="9" spans="1:19" ht="15" customHeight="1">
      <c r="A9" s="277" t="s">
        <v>66</v>
      </c>
      <c r="B9" s="278"/>
      <c r="C9" s="247"/>
      <c r="D9" s="278" t="s">
        <v>67</v>
      </c>
      <c r="E9" s="248"/>
      <c r="F9" s="278" t="s">
        <v>68</v>
      </c>
      <c r="G9" s="292"/>
      <c r="H9" s="277" t="s">
        <v>69</v>
      </c>
      <c r="I9" s="278" t="s">
        <v>67</v>
      </c>
      <c r="J9" s="285" t="s">
        <v>68</v>
      </c>
      <c r="K9" s="249"/>
      <c r="L9" s="47"/>
      <c r="M9" s="294" t="s">
        <v>70</v>
      </c>
      <c r="N9" s="26"/>
    </row>
    <row r="10" spans="1:19" ht="15" customHeight="1">
      <c r="A10" s="279"/>
      <c r="B10" s="280"/>
      <c r="C10" s="250"/>
      <c r="D10" s="280"/>
      <c r="E10" s="251"/>
      <c r="F10" s="280"/>
      <c r="G10" s="293"/>
      <c r="H10" s="279"/>
      <c r="I10" s="280"/>
      <c r="J10" s="286"/>
      <c r="K10" s="252"/>
      <c r="L10" s="47"/>
      <c r="M10" s="295"/>
      <c r="N10" s="26"/>
    </row>
    <row r="11" spans="1:19" ht="15" customHeight="1">
      <c r="A11" s="296" t="s">
        <v>71</v>
      </c>
      <c r="B11" s="297"/>
      <c r="C11" s="29"/>
      <c r="D11" s="29"/>
      <c r="F11" s="30">
        <v>30000</v>
      </c>
      <c r="G11" s="31"/>
      <c r="H11" s="28" t="s">
        <v>72</v>
      </c>
      <c r="I11" s="32">
        <v>0.05</v>
      </c>
      <c r="J11" s="33">
        <f>IF(F11&lt;17500,F11*5%,17500*5%)</f>
        <v>875</v>
      </c>
      <c r="K11" s="31"/>
      <c r="L11" s="34"/>
      <c r="M11" s="35" t="s">
        <v>104</v>
      </c>
      <c r="N11" s="36"/>
      <c r="Q11" s="37"/>
      <c r="S11" s="38"/>
    </row>
    <row r="12" spans="1:19" ht="15" customHeight="1">
      <c r="A12" s="273" t="s">
        <v>74</v>
      </c>
      <c r="B12" s="274"/>
      <c r="C12" s="275">
        <v>29887</v>
      </c>
      <c r="D12" s="275"/>
      <c r="E12" s="48" t="s">
        <v>75</v>
      </c>
      <c r="F12" s="49">
        <f>C12*0.03</f>
        <v>896.61</v>
      </c>
      <c r="G12" s="42"/>
      <c r="H12" s="39" t="s">
        <v>73</v>
      </c>
      <c r="I12" s="43"/>
      <c r="J12" s="44">
        <v>205</v>
      </c>
      <c r="K12" s="45"/>
      <c r="L12" s="46"/>
      <c r="M12" s="47"/>
      <c r="N12" s="47"/>
      <c r="S12" t="s">
        <v>30</v>
      </c>
    </row>
    <row r="13" spans="1:19" ht="15" customHeight="1">
      <c r="A13" s="273"/>
      <c r="B13" s="274"/>
      <c r="C13" s="275"/>
      <c r="D13" s="275"/>
      <c r="E13" s="48"/>
      <c r="F13" s="49"/>
      <c r="G13" s="42"/>
      <c r="H13" s="50"/>
      <c r="I13" s="51"/>
      <c r="J13" s="52"/>
      <c r="K13" s="45"/>
      <c r="L13" s="46"/>
      <c r="M13" s="294" t="s">
        <v>76</v>
      </c>
      <c r="N13" s="26"/>
    </row>
    <row r="14" spans="1:19" ht="15" customHeight="1">
      <c r="A14" s="273"/>
      <c r="B14" s="274"/>
      <c r="C14" s="53"/>
      <c r="D14" s="53"/>
      <c r="E14" s="54"/>
      <c r="F14" s="54"/>
      <c r="G14" s="42"/>
      <c r="H14" s="50"/>
      <c r="I14" s="51"/>
      <c r="J14" s="52"/>
      <c r="K14" s="45"/>
      <c r="L14" s="46"/>
      <c r="M14" s="295"/>
      <c r="N14" s="26"/>
      <c r="Q14" t="s">
        <v>30</v>
      </c>
    </row>
    <row r="15" spans="1:19" ht="15" customHeight="1">
      <c r="A15" s="50"/>
      <c r="B15" s="55"/>
      <c r="C15" s="56"/>
      <c r="D15" s="23"/>
      <c r="E15" s="41"/>
      <c r="F15" s="41"/>
      <c r="G15" s="42"/>
      <c r="H15" s="50"/>
      <c r="I15" s="51"/>
      <c r="J15" s="52"/>
      <c r="K15" s="45"/>
      <c r="L15" s="46"/>
      <c r="M15" s="283">
        <f>F18-J18</f>
        <v>29816.61</v>
      </c>
      <c r="N15" s="57"/>
    </row>
    <row r="16" spans="1:19" ht="15" customHeight="1">
      <c r="A16" s="50"/>
      <c r="B16" s="55"/>
      <c r="C16" s="56"/>
      <c r="D16" s="23"/>
      <c r="E16" s="41"/>
      <c r="F16" s="41"/>
      <c r="G16" s="42"/>
      <c r="H16" s="50"/>
      <c r="I16" s="51"/>
      <c r="J16" s="52"/>
      <c r="K16" s="45"/>
      <c r="L16" s="46"/>
      <c r="M16" s="284"/>
      <c r="N16" s="57"/>
    </row>
    <row r="17" spans="1:18" ht="15" customHeight="1">
      <c r="A17" s="58"/>
      <c r="B17" s="59"/>
      <c r="C17" s="60"/>
      <c r="D17" s="60"/>
      <c r="E17" s="41"/>
      <c r="F17" s="41"/>
      <c r="G17" s="61"/>
      <c r="H17" s="62"/>
      <c r="I17" s="59"/>
      <c r="J17" s="63"/>
      <c r="K17" s="64"/>
      <c r="L17" s="65"/>
      <c r="M17" s="17"/>
      <c r="N17" s="17"/>
    </row>
    <row r="18" spans="1:18" ht="15" customHeight="1">
      <c r="A18" s="66"/>
      <c r="B18" s="67"/>
      <c r="C18" s="68"/>
      <c r="D18" s="278" t="s">
        <v>77</v>
      </c>
      <c r="E18" s="69"/>
      <c r="F18" s="290">
        <f>SUM(F11:F17)</f>
        <v>30896.61</v>
      </c>
      <c r="G18" s="70"/>
      <c r="H18" s="277" t="s">
        <v>78</v>
      </c>
      <c r="I18" s="278"/>
      <c r="J18" s="290">
        <f>SUM(J11:J17)</f>
        <v>1080</v>
      </c>
      <c r="K18" s="70"/>
      <c r="L18" s="65"/>
      <c r="M18" s="71"/>
      <c r="N18" s="72"/>
    </row>
    <row r="19" spans="1:18" ht="15" customHeight="1">
      <c r="A19" s="73"/>
      <c r="B19" s="74"/>
      <c r="C19" s="74"/>
      <c r="D19" s="280"/>
      <c r="E19" s="75"/>
      <c r="F19" s="291"/>
      <c r="G19" s="76"/>
      <c r="H19" s="279"/>
      <c r="I19" s="280"/>
      <c r="J19" s="291"/>
      <c r="K19" s="76"/>
      <c r="L19" s="65"/>
      <c r="M19" s="55" t="s">
        <v>79</v>
      </c>
      <c r="N19" s="72"/>
    </row>
    <row r="20" spans="1:18" ht="15" customHeight="1">
      <c r="A20" s="77"/>
      <c r="B20" s="77"/>
      <c r="C20" s="77"/>
      <c r="D20" s="26"/>
      <c r="E20" s="26"/>
      <c r="F20" s="78"/>
      <c r="G20" s="65"/>
      <c r="H20" s="26"/>
      <c r="I20" s="26"/>
      <c r="J20" s="78"/>
      <c r="K20" s="65"/>
      <c r="L20" s="65"/>
      <c r="M20" s="72"/>
      <c r="N20" s="72"/>
    </row>
    <row r="21" spans="1:18" ht="14.45" customHeight="1">
      <c r="A21" s="272" t="s">
        <v>60</v>
      </c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79"/>
    </row>
    <row r="22" spans="1:18" ht="15.6" customHeight="1">
      <c r="A22" s="270" t="s">
        <v>61</v>
      </c>
      <c r="B22" s="270"/>
      <c r="C22" s="270"/>
      <c r="D22" s="270"/>
      <c r="E22" s="270"/>
      <c r="F22" s="270"/>
      <c r="G22" s="270"/>
      <c r="H22" s="270"/>
      <c r="I22" s="270"/>
      <c r="J22" s="270"/>
      <c r="K22" s="270"/>
      <c r="L22" s="270"/>
      <c r="M22" s="270"/>
      <c r="N22" s="1"/>
    </row>
    <row r="23" spans="1:18" ht="15.6" customHeight="1">
      <c r="A23" s="270" t="s">
        <v>62</v>
      </c>
      <c r="B23" s="270"/>
      <c r="C23" s="270"/>
      <c r="D23" s="270"/>
      <c r="E23" s="270"/>
      <c r="F23" s="270"/>
      <c r="G23" s="270"/>
      <c r="H23" s="270"/>
      <c r="I23" s="270"/>
      <c r="J23" s="270"/>
      <c r="K23" s="270"/>
      <c r="L23" s="270"/>
      <c r="M23" s="270"/>
      <c r="N23" s="1"/>
    </row>
    <row r="24" spans="1:18" ht="15.6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8" ht="15.6" customHeight="1">
      <c r="A25" s="271" t="s">
        <v>63</v>
      </c>
      <c r="B25" s="271"/>
      <c r="C25" s="271"/>
      <c r="D25" s="271"/>
      <c r="E25" s="271"/>
      <c r="F25" s="271"/>
      <c r="G25" s="271"/>
      <c r="H25" s="271"/>
      <c r="I25" s="271"/>
      <c r="J25" s="271"/>
      <c r="K25" s="271"/>
      <c r="L25" s="271"/>
      <c r="M25" s="271"/>
      <c r="N25" s="1"/>
    </row>
    <row r="26" spans="1:18" ht="15.6" customHeight="1">
      <c r="A26" s="1"/>
      <c r="B26" s="1"/>
      <c r="C26" s="1"/>
      <c r="D26" s="15"/>
      <c r="E26" s="15"/>
      <c r="F26" s="15"/>
      <c r="G26" s="15"/>
      <c r="H26" s="15"/>
      <c r="I26" s="15"/>
      <c r="J26" s="15"/>
      <c r="K26" s="15"/>
      <c r="L26" s="15"/>
      <c r="M26" s="1"/>
      <c r="N26" s="1"/>
    </row>
    <row r="27" spans="1:18" ht="15.6" customHeight="1">
      <c r="A27" s="22" t="s">
        <v>8</v>
      </c>
      <c r="B27" s="274">
        <v>202107</v>
      </c>
      <c r="C27" s="274"/>
      <c r="D27" s="22" t="s">
        <v>64</v>
      </c>
      <c r="E27" s="274" t="s">
        <v>21</v>
      </c>
      <c r="F27" s="274"/>
      <c r="G27" s="23"/>
      <c r="H27" s="22" t="s">
        <v>7</v>
      </c>
      <c r="I27" s="16" t="s">
        <v>22</v>
      </c>
      <c r="J27" s="276" t="s">
        <v>65</v>
      </c>
      <c r="K27" s="276"/>
      <c r="L27" s="276"/>
      <c r="M27" s="18" t="s">
        <v>23</v>
      </c>
      <c r="N27" s="18"/>
      <c r="O27" s="80">
        <v>2</v>
      </c>
    </row>
    <row r="28" spans="1:18" ht="15.6" customHeight="1">
      <c r="A28" s="20"/>
      <c r="B28" s="20"/>
      <c r="C28" s="21"/>
      <c r="D28" s="22"/>
      <c r="E28" s="22"/>
      <c r="F28" s="23"/>
      <c r="G28" s="17"/>
      <c r="H28" s="22"/>
      <c r="I28" s="21"/>
      <c r="J28" s="24"/>
      <c r="K28" s="24"/>
      <c r="L28" s="24"/>
      <c r="M28" s="23"/>
      <c r="N28" s="23"/>
      <c r="O28" s="81"/>
    </row>
    <row r="29" spans="1:18" ht="15.6" customHeight="1">
      <c r="A29" s="277" t="s">
        <v>66</v>
      </c>
      <c r="B29" s="278"/>
      <c r="C29" s="247"/>
      <c r="D29" s="278" t="s">
        <v>67</v>
      </c>
      <c r="E29" s="285" t="s">
        <v>68</v>
      </c>
      <c r="F29" s="285"/>
      <c r="G29" s="249"/>
      <c r="H29" s="277" t="s">
        <v>69</v>
      </c>
      <c r="I29" s="278" t="s">
        <v>67</v>
      </c>
      <c r="J29" s="285" t="s">
        <v>68</v>
      </c>
      <c r="K29" s="249"/>
      <c r="L29" s="47"/>
      <c r="M29" s="294" t="s">
        <v>70</v>
      </c>
      <c r="N29" s="26"/>
      <c r="O29" s="82" t="s">
        <v>10</v>
      </c>
    </row>
    <row r="30" spans="1:18" ht="15.6" customHeight="1">
      <c r="A30" s="279"/>
      <c r="B30" s="280"/>
      <c r="C30" s="250"/>
      <c r="D30" s="280"/>
      <c r="E30" s="286"/>
      <c r="F30" s="286"/>
      <c r="G30" s="252"/>
      <c r="H30" s="279"/>
      <c r="I30" s="280"/>
      <c r="J30" s="286"/>
      <c r="K30" s="252"/>
      <c r="L30" s="47"/>
      <c r="M30" s="295"/>
      <c r="N30" s="26"/>
      <c r="O30" s="83">
        <f>F31</f>
        <v>12500</v>
      </c>
    </row>
    <row r="31" spans="1:18" ht="15.6" customHeight="1">
      <c r="A31" s="296" t="s">
        <v>71</v>
      </c>
      <c r="B31" s="297"/>
      <c r="C31" s="29"/>
      <c r="D31" s="29"/>
      <c r="F31" s="84">
        <f>'[1]สรุปอินฟินิท เบรน68'!F76</f>
        <v>12500</v>
      </c>
      <c r="G31" s="31"/>
      <c r="H31" s="85" t="s">
        <v>72</v>
      </c>
      <c r="I31" s="32">
        <v>0.05</v>
      </c>
      <c r="J31" s="33">
        <f>IF(F31&lt;17500,F31*5%,17500*5%)</f>
        <v>625</v>
      </c>
      <c r="K31" s="31"/>
      <c r="L31" s="34"/>
      <c r="M31" s="86" t="str">
        <f>M11</f>
        <v>31 มกราคม 2569</v>
      </c>
      <c r="N31" s="87"/>
      <c r="O31" s="82" t="s">
        <v>80</v>
      </c>
      <c r="R31" t="s">
        <v>30</v>
      </c>
    </row>
    <row r="32" spans="1:18" ht="15.6" customHeight="1">
      <c r="A32" s="299"/>
      <c r="B32" s="287"/>
      <c r="C32" s="88"/>
      <c r="D32" s="40"/>
      <c r="E32" s="89"/>
      <c r="F32" s="89"/>
      <c r="G32" s="42"/>
      <c r="H32" s="90"/>
      <c r="I32" s="43"/>
      <c r="J32" s="91"/>
      <c r="K32" s="45"/>
      <c r="L32" s="46"/>
      <c r="M32" s="47"/>
      <c r="N32" s="47"/>
      <c r="O32" s="92">
        <f>(((O30/30)/8)/60)</f>
        <v>0.86805555555555558</v>
      </c>
    </row>
    <row r="33" spans="1:19" ht="15.6" customHeight="1">
      <c r="A33" s="273"/>
      <c r="B33" s="274"/>
      <c r="C33" s="88"/>
      <c r="D33" s="93"/>
      <c r="E33" s="41"/>
      <c r="F33" s="41"/>
      <c r="G33" s="42"/>
      <c r="H33" s="50"/>
      <c r="I33" s="51"/>
      <c r="J33" s="52"/>
      <c r="K33" s="45"/>
      <c r="L33" s="46"/>
      <c r="M33" s="294" t="s">
        <v>76</v>
      </c>
      <c r="N33" s="26"/>
    </row>
    <row r="34" spans="1:19" ht="15.6" customHeight="1">
      <c r="A34" s="273"/>
      <c r="B34" s="274"/>
      <c r="C34" s="88"/>
      <c r="D34" s="88"/>
      <c r="E34" s="41"/>
      <c r="F34" s="41"/>
      <c r="G34" s="42"/>
      <c r="H34" s="50"/>
      <c r="I34" s="51"/>
      <c r="J34" s="52"/>
      <c r="K34" s="45"/>
      <c r="L34" s="46"/>
      <c r="M34" s="295"/>
      <c r="N34" s="26"/>
      <c r="O34" s="94"/>
    </row>
    <row r="35" spans="1:19" ht="15.6" customHeight="1">
      <c r="A35" s="50"/>
      <c r="B35" s="55"/>
      <c r="C35" s="56"/>
      <c r="D35" s="23"/>
      <c r="E35" s="41"/>
      <c r="F35" s="41"/>
      <c r="G35" s="42"/>
      <c r="H35" s="50"/>
      <c r="I35" s="51"/>
      <c r="J35" s="52"/>
      <c r="K35" s="45"/>
      <c r="L35" s="46"/>
      <c r="M35" s="283">
        <f>F38-J38</f>
        <v>11875</v>
      </c>
      <c r="N35" s="57"/>
    </row>
    <row r="36" spans="1:19" ht="15.6" customHeight="1">
      <c r="A36" s="50"/>
      <c r="B36" s="55"/>
      <c r="C36" s="56"/>
      <c r="D36" s="23"/>
      <c r="E36" s="41"/>
      <c r="F36" s="41"/>
      <c r="G36" s="42"/>
      <c r="H36" s="50"/>
      <c r="I36" s="51"/>
      <c r="J36" s="52"/>
      <c r="K36" s="45"/>
      <c r="L36" s="46"/>
      <c r="M36" s="284"/>
      <c r="N36" s="57"/>
    </row>
    <row r="37" spans="1:19" ht="15.6" customHeight="1">
      <c r="A37" s="58"/>
      <c r="B37" s="59"/>
      <c r="C37" s="60"/>
      <c r="D37" s="60"/>
      <c r="E37" s="41"/>
      <c r="F37" s="41"/>
      <c r="G37" s="61"/>
      <c r="H37" s="62"/>
      <c r="I37" s="59"/>
      <c r="J37" s="63"/>
      <c r="K37" s="64"/>
      <c r="L37" s="65"/>
      <c r="M37" s="17"/>
      <c r="N37" s="17"/>
      <c r="Q37" t="s">
        <v>30</v>
      </c>
    </row>
    <row r="38" spans="1:19" ht="15.6" customHeight="1">
      <c r="A38" s="66"/>
      <c r="B38" s="67"/>
      <c r="C38" s="68"/>
      <c r="D38" s="278" t="s">
        <v>77</v>
      </c>
      <c r="E38" s="95" t="s">
        <v>30</v>
      </c>
      <c r="F38" s="290">
        <f>SUM(F31:F37)</f>
        <v>12500</v>
      </c>
      <c r="G38" s="70"/>
      <c r="H38" s="277" t="s">
        <v>78</v>
      </c>
      <c r="I38" s="278"/>
      <c r="J38" s="290">
        <f>SUM(J31:J37)</f>
        <v>625</v>
      </c>
      <c r="K38" s="70"/>
      <c r="L38" s="65"/>
      <c r="M38" s="71"/>
      <c r="N38" s="72"/>
    </row>
    <row r="39" spans="1:19" ht="15.6" customHeight="1">
      <c r="A39" s="73"/>
      <c r="B39" s="74"/>
      <c r="C39" s="74"/>
      <c r="D39" s="280"/>
      <c r="E39" s="96"/>
      <c r="F39" s="298"/>
      <c r="G39" s="76"/>
      <c r="H39" s="279"/>
      <c r="I39" s="280"/>
      <c r="J39" s="291"/>
      <c r="K39" s="76"/>
      <c r="L39" s="65"/>
      <c r="M39" s="55" t="s">
        <v>79</v>
      </c>
      <c r="N39" s="72"/>
    </row>
    <row r="40" spans="1:19">
      <c r="A40" s="272" t="s">
        <v>60</v>
      </c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79"/>
    </row>
    <row r="41" spans="1:19">
      <c r="A41" s="270" t="s">
        <v>61</v>
      </c>
      <c r="B41" s="270"/>
      <c r="C41" s="270"/>
      <c r="D41" s="270"/>
      <c r="E41" s="270"/>
      <c r="F41" s="270"/>
      <c r="G41" s="270"/>
      <c r="H41" s="270"/>
      <c r="I41" s="270"/>
      <c r="J41" s="270"/>
      <c r="K41" s="270"/>
      <c r="L41" s="270"/>
      <c r="M41" s="270"/>
      <c r="N41" s="1"/>
      <c r="S41" t="s">
        <v>30</v>
      </c>
    </row>
    <row r="42" spans="1:19">
      <c r="A42" s="270" t="s">
        <v>62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1"/>
    </row>
    <row r="43" spans="1:1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9" ht="15" customHeight="1">
      <c r="A44" s="271" t="s">
        <v>63</v>
      </c>
      <c r="B44" s="271"/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1"/>
    </row>
    <row r="45" spans="1:19" ht="15" customHeight="1">
      <c r="A45" s="1"/>
      <c r="B45" s="1"/>
      <c r="C45" s="1"/>
      <c r="D45" s="15"/>
      <c r="E45" s="15"/>
      <c r="F45" s="15"/>
      <c r="G45" s="15"/>
      <c r="H45" s="15"/>
      <c r="I45" s="15"/>
      <c r="J45" s="15"/>
      <c r="K45" s="15"/>
      <c r="L45" s="15"/>
      <c r="M45" s="1"/>
      <c r="N45" s="1"/>
      <c r="S45" t="s">
        <v>30</v>
      </c>
    </row>
    <row r="46" spans="1:19">
      <c r="A46" s="22" t="s">
        <v>8</v>
      </c>
      <c r="B46" s="274">
        <v>202113</v>
      </c>
      <c r="C46" s="274"/>
      <c r="D46" s="22" t="s">
        <v>64</v>
      </c>
      <c r="E46" s="274" t="s">
        <v>31</v>
      </c>
      <c r="F46" s="274"/>
      <c r="G46" s="23"/>
      <c r="H46" s="22" t="s">
        <v>7</v>
      </c>
      <c r="I46" s="16" t="s">
        <v>35</v>
      </c>
      <c r="J46" s="276" t="s">
        <v>65</v>
      </c>
      <c r="K46" s="276"/>
      <c r="L46" s="276"/>
      <c r="M46" s="18" t="s">
        <v>33</v>
      </c>
      <c r="N46" s="18"/>
      <c r="O46" s="80">
        <v>3</v>
      </c>
    </row>
    <row r="47" spans="1:19">
      <c r="A47" s="20"/>
      <c r="B47" s="20"/>
      <c r="C47" s="21"/>
      <c r="D47" s="22"/>
      <c r="E47" s="22"/>
      <c r="F47" s="23"/>
      <c r="G47" s="17"/>
      <c r="H47" s="22"/>
      <c r="I47" s="21"/>
      <c r="J47" s="24"/>
      <c r="K47" s="24"/>
      <c r="L47" s="24"/>
      <c r="M47" s="23"/>
      <c r="N47" s="23"/>
      <c r="O47" s="81"/>
    </row>
    <row r="48" spans="1:19">
      <c r="A48" s="277" t="s">
        <v>66</v>
      </c>
      <c r="B48" s="278"/>
      <c r="C48" s="247"/>
      <c r="D48" s="278" t="s">
        <v>81</v>
      </c>
      <c r="E48" s="278" t="s">
        <v>82</v>
      </c>
      <c r="F48" s="278" t="s">
        <v>68</v>
      </c>
      <c r="G48" s="249"/>
      <c r="H48" s="277" t="s">
        <v>69</v>
      </c>
      <c r="I48" s="278" t="s">
        <v>67</v>
      </c>
      <c r="J48" s="285" t="s">
        <v>68</v>
      </c>
      <c r="K48" s="249"/>
      <c r="L48" s="47"/>
      <c r="M48" s="294" t="s">
        <v>70</v>
      </c>
      <c r="N48" s="26"/>
      <c r="O48" s="82" t="s">
        <v>10</v>
      </c>
    </row>
    <row r="49" spans="1:17">
      <c r="A49" s="279"/>
      <c r="B49" s="280"/>
      <c r="C49" s="250"/>
      <c r="D49" s="280"/>
      <c r="E49" s="280"/>
      <c r="F49" s="280"/>
      <c r="G49" s="252"/>
      <c r="H49" s="279"/>
      <c r="I49" s="280"/>
      <c r="J49" s="286"/>
      <c r="K49" s="252"/>
      <c r="L49" s="47"/>
      <c r="M49" s="295"/>
      <c r="N49" s="26"/>
      <c r="O49" s="83">
        <f>F50</f>
        <v>5000</v>
      </c>
    </row>
    <row r="50" spans="1:17">
      <c r="A50" s="97" t="s">
        <v>83</v>
      </c>
      <c r="B50" s="98"/>
      <c r="C50" s="99"/>
      <c r="D50" s="100">
        <v>385</v>
      </c>
      <c r="E50" s="100">
        <v>20</v>
      </c>
      <c r="F50" s="101">
        <v>5000</v>
      </c>
      <c r="G50" s="31"/>
      <c r="H50" s="28" t="s">
        <v>301</v>
      </c>
      <c r="I50" s="102">
        <v>0.03</v>
      </c>
      <c r="J50" s="33">
        <f>F57*3%</f>
        <v>225</v>
      </c>
      <c r="K50" s="31"/>
      <c r="L50" s="34"/>
      <c r="M50" s="86" t="str">
        <f>M11</f>
        <v>31 มกราคม 2569</v>
      </c>
      <c r="N50" s="87"/>
      <c r="O50" s="82" t="s">
        <v>80</v>
      </c>
    </row>
    <row r="51" spans="1:17">
      <c r="A51" s="300" t="s">
        <v>84</v>
      </c>
      <c r="B51" s="301"/>
      <c r="C51" s="40"/>
      <c r="D51" s="100">
        <v>500</v>
      </c>
      <c r="E51" s="100">
        <v>5</v>
      </c>
      <c r="F51" s="101">
        <f>D51*E51</f>
        <v>2500</v>
      </c>
      <c r="G51" s="42"/>
      <c r="H51" s="39"/>
      <c r="I51" s="44"/>
      <c r="J51" s="44"/>
      <c r="K51" s="45"/>
      <c r="L51" s="46"/>
      <c r="M51" s="47"/>
      <c r="N51" s="47"/>
      <c r="O51" s="92">
        <f>(((O49/30)/8)/60)</f>
        <v>0.34722222222222221</v>
      </c>
    </row>
    <row r="52" spans="1:17">
      <c r="A52" s="300"/>
      <c r="B52" s="301"/>
      <c r="C52" s="302"/>
      <c r="D52" s="302"/>
      <c r="E52" s="8"/>
      <c r="F52" s="103"/>
      <c r="G52" s="42"/>
      <c r="H52" s="39"/>
      <c r="I52" s="100"/>
      <c r="J52" s="44"/>
      <c r="K52" s="45"/>
      <c r="L52" s="46"/>
      <c r="M52" s="294" t="s">
        <v>76</v>
      </c>
      <c r="N52" s="26"/>
    </row>
    <row r="53" spans="1:17">
      <c r="A53" s="300"/>
      <c r="B53" s="301"/>
      <c r="C53" s="40"/>
      <c r="D53" s="40"/>
      <c r="E53" s="89"/>
      <c r="F53" s="89"/>
      <c r="G53" s="42"/>
      <c r="H53" s="50"/>
      <c r="I53" s="51"/>
      <c r="J53" s="52"/>
      <c r="K53" s="45"/>
      <c r="L53" s="46"/>
      <c r="M53" s="295"/>
      <c r="N53" s="26"/>
      <c r="O53" s="94"/>
      <c r="Q53" t="s">
        <v>30</v>
      </c>
    </row>
    <row r="54" spans="1:17" ht="16.5">
      <c r="A54" s="300"/>
      <c r="B54" s="301"/>
      <c r="C54" s="56"/>
      <c r="D54" s="23"/>
      <c r="E54" s="41"/>
      <c r="F54" s="41"/>
      <c r="G54" s="42"/>
      <c r="H54" s="50"/>
      <c r="I54" s="51"/>
      <c r="J54" s="52"/>
      <c r="K54" s="45"/>
      <c r="L54" s="46"/>
      <c r="M54" s="283">
        <f>F57-J57</f>
        <v>7275</v>
      </c>
      <c r="N54" s="57"/>
    </row>
    <row r="55" spans="1:17" ht="16.5">
      <c r="A55" s="300"/>
      <c r="B55" s="301"/>
      <c r="C55" s="56"/>
      <c r="D55" s="23"/>
      <c r="E55" s="41"/>
      <c r="F55" s="41"/>
      <c r="G55" s="42"/>
      <c r="H55" s="50"/>
      <c r="I55" s="51"/>
      <c r="J55" s="52"/>
      <c r="K55" s="45"/>
      <c r="L55" s="46"/>
      <c r="M55" s="284"/>
      <c r="N55" s="57"/>
    </row>
    <row r="56" spans="1:17">
      <c r="A56" s="300"/>
      <c r="B56" s="301"/>
      <c r="C56" s="60"/>
      <c r="D56" s="60"/>
      <c r="E56" s="41"/>
      <c r="F56" s="41"/>
      <c r="G56" s="61"/>
      <c r="H56" s="62"/>
      <c r="I56" s="59"/>
      <c r="J56" s="63"/>
      <c r="K56" s="64"/>
      <c r="L56" s="65"/>
      <c r="M56" s="17"/>
      <c r="N56" s="17"/>
    </row>
    <row r="57" spans="1:17">
      <c r="A57" s="66"/>
      <c r="B57" s="67"/>
      <c r="C57" s="68"/>
      <c r="D57" s="278" t="s">
        <v>77</v>
      </c>
      <c r="E57" s="95"/>
      <c r="F57" s="290">
        <f>SUM(F50:F56)</f>
        <v>7500</v>
      </c>
      <c r="G57" s="70"/>
      <c r="H57" s="277" t="s">
        <v>78</v>
      </c>
      <c r="I57" s="278"/>
      <c r="J57" s="290">
        <f>SUM(J50:J56)</f>
        <v>225</v>
      </c>
      <c r="K57" s="70"/>
      <c r="L57" s="65"/>
      <c r="M57" s="71"/>
      <c r="N57" s="72"/>
    </row>
    <row r="58" spans="1:17">
      <c r="A58" s="73"/>
      <c r="B58" s="74"/>
      <c r="C58" s="74"/>
      <c r="D58" s="280"/>
      <c r="E58" s="75"/>
      <c r="F58" s="291"/>
      <c r="G58" s="76"/>
      <c r="H58" s="279"/>
      <c r="I58" s="280"/>
      <c r="J58" s="291"/>
      <c r="K58" s="76"/>
      <c r="L58" s="65"/>
      <c r="M58" s="55" t="s">
        <v>79</v>
      </c>
      <c r="N58" s="72"/>
    </row>
    <row r="59" spans="1:17">
      <c r="A59" s="272" t="s">
        <v>60</v>
      </c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79"/>
    </row>
    <row r="60" spans="1:17">
      <c r="A60" s="270" t="s">
        <v>61</v>
      </c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1"/>
    </row>
    <row r="61" spans="1:17">
      <c r="A61" s="270" t="s">
        <v>62</v>
      </c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1"/>
    </row>
    <row r="62" spans="1:1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7" ht="15" customHeight="1">
      <c r="A63" s="271" t="s">
        <v>63</v>
      </c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1"/>
    </row>
    <row r="64" spans="1:17" ht="15" customHeight="1">
      <c r="A64" s="1"/>
      <c r="B64" s="1"/>
      <c r="C64" s="1"/>
      <c r="D64" s="15"/>
      <c r="E64" s="15"/>
      <c r="F64" s="15"/>
      <c r="G64" s="15"/>
      <c r="H64" s="15"/>
      <c r="I64" s="15"/>
      <c r="J64" s="15"/>
      <c r="K64" s="15"/>
      <c r="L64" s="15"/>
      <c r="M64" s="1"/>
      <c r="N64" s="1"/>
    </row>
    <row r="65" spans="1:18">
      <c r="A65" s="22" t="s">
        <v>8</v>
      </c>
      <c r="B65" s="274">
        <v>202119</v>
      </c>
      <c r="C65" s="274"/>
      <c r="D65" s="22" t="s">
        <v>64</v>
      </c>
      <c r="E65" s="274" t="s">
        <v>34</v>
      </c>
      <c r="F65" s="274"/>
      <c r="G65" s="23"/>
      <c r="H65" s="22" t="s">
        <v>7</v>
      </c>
      <c r="I65" s="16" t="s">
        <v>35</v>
      </c>
      <c r="J65" s="276" t="s">
        <v>65</v>
      </c>
      <c r="K65" s="276"/>
      <c r="L65" s="276"/>
      <c r="M65" s="18" t="s">
        <v>85</v>
      </c>
      <c r="N65" s="18"/>
      <c r="O65" s="80">
        <v>4</v>
      </c>
    </row>
    <row r="66" spans="1:18">
      <c r="A66" s="20"/>
      <c r="B66" s="20"/>
      <c r="C66" s="21"/>
      <c r="D66" s="22"/>
      <c r="E66" s="22"/>
      <c r="F66" s="23"/>
      <c r="G66" s="17"/>
      <c r="H66" s="22"/>
      <c r="I66" s="21"/>
      <c r="J66" s="24"/>
      <c r="K66" s="24"/>
      <c r="L66" s="24"/>
      <c r="M66" s="23"/>
      <c r="N66" s="23"/>
      <c r="O66" s="81"/>
    </row>
    <row r="67" spans="1:18">
      <c r="A67" s="277" t="s">
        <v>66</v>
      </c>
      <c r="B67" s="278"/>
      <c r="C67" s="247"/>
      <c r="D67" s="278" t="s">
        <v>86</v>
      </c>
      <c r="E67" s="278" t="s">
        <v>87</v>
      </c>
      <c r="F67" s="278" t="s">
        <v>68</v>
      </c>
      <c r="G67" s="249"/>
      <c r="H67" s="277" t="s">
        <v>69</v>
      </c>
      <c r="I67" s="278" t="s">
        <v>67</v>
      </c>
      <c r="J67" s="285" t="s">
        <v>68</v>
      </c>
      <c r="K67" s="249"/>
      <c r="L67" s="47"/>
      <c r="M67" s="294" t="s">
        <v>70</v>
      </c>
      <c r="N67" s="26"/>
      <c r="O67" s="82" t="s">
        <v>10</v>
      </c>
    </row>
    <row r="68" spans="1:18">
      <c r="A68" s="279"/>
      <c r="B68" s="280"/>
      <c r="C68" s="250"/>
      <c r="D68" s="280"/>
      <c r="E68" s="280"/>
      <c r="F68" s="280"/>
      <c r="G68" s="252"/>
      <c r="H68" s="279"/>
      <c r="I68" s="280"/>
      <c r="J68" s="286"/>
      <c r="K68" s="252"/>
      <c r="L68" s="47"/>
      <c r="M68" s="295"/>
      <c r="N68" s="26"/>
      <c r="O68" s="83">
        <f>F69</f>
        <v>1800</v>
      </c>
    </row>
    <row r="69" spans="1:18">
      <c r="A69" s="296" t="s">
        <v>71</v>
      </c>
      <c r="B69" s="297"/>
      <c r="C69" s="29"/>
      <c r="D69" s="100">
        <v>600</v>
      </c>
      <c r="E69" s="100">
        <v>3</v>
      </c>
      <c r="F69" s="101">
        <f>D69*E69</f>
        <v>1800</v>
      </c>
      <c r="G69" s="31"/>
      <c r="H69" s="28" t="s">
        <v>301</v>
      </c>
      <c r="I69" s="102">
        <v>0.03</v>
      </c>
      <c r="J69" s="33">
        <f>IF(F69&lt;17500,F69*5%,17500*5%)</f>
        <v>90</v>
      </c>
      <c r="K69" s="31"/>
      <c r="L69" s="34"/>
      <c r="M69" s="86" t="str">
        <f>M11</f>
        <v>31 มกราคม 2569</v>
      </c>
      <c r="N69" s="87"/>
      <c r="O69" s="82" t="s">
        <v>80</v>
      </c>
    </row>
    <row r="70" spans="1:18">
      <c r="A70" s="273"/>
      <c r="B70" s="274"/>
      <c r="C70" s="88"/>
      <c r="D70" s="104"/>
      <c r="E70" s="101"/>
      <c r="F70" s="101"/>
      <c r="G70" s="42"/>
      <c r="H70" s="90"/>
      <c r="I70" s="43"/>
      <c r="J70" s="91"/>
      <c r="K70" s="45"/>
      <c r="L70" s="46"/>
      <c r="M70" s="47"/>
      <c r="N70" s="47"/>
      <c r="O70" s="92">
        <f>(((O68/30)/8)/60)</f>
        <v>0.125</v>
      </c>
    </row>
    <row r="71" spans="1:18">
      <c r="A71" s="273"/>
      <c r="B71" s="274"/>
      <c r="C71" s="88"/>
      <c r="D71" s="93"/>
      <c r="E71" s="41"/>
      <c r="F71" s="41"/>
      <c r="G71" s="42"/>
      <c r="H71" s="50"/>
      <c r="I71" s="51"/>
      <c r="J71" s="52"/>
      <c r="K71" s="45"/>
      <c r="L71" s="46"/>
      <c r="M71" s="294" t="s">
        <v>76</v>
      </c>
      <c r="N71" s="26"/>
    </row>
    <row r="72" spans="1:18">
      <c r="A72" s="90"/>
      <c r="B72" s="43"/>
      <c r="C72" s="88"/>
      <c r="D72" s="88"/>
      <c r="E72" s="41"/>
      <c r="F72" s="41"/>
      <c r="G72" s="42"/>
      <c r="H72" s="50"/>
      <c r="I72" s="51"/>
      <c r="J72" s="52"/>
      <c r="K72" s="45"/>
      <c r="L72" s="46"/>
      <c r="M72" s="295"/>
      <c r="N72" s="26"/>
      <c r="O72" s="94"/>
      <c r="R72" t="s">
        <v>30</v>
      </c>
    </row>
    <row r="73" spans="1:18" ht="16.5">
      <c r="A73" s="50"/>
      <c r="B73" s="55"/>
      <c r="C73" s="56"/>
      <c r="D73" s="23"/>
      <c r="E73" s="41"/>
      <c r="F73" s="41"/>
      <c r="G73" s="42"/>
      <c r="H73" s="50"/>
      <c r="I73" s="51"/>
      <c r="J73" s="52"/>
      <c r="K73" s="45"/>
      <c r="L73" s="46"/>
      <c r="M73" s="283">
        <f>F76-J76</f>
        <v>1710</v>
      </c>
      <c r="N73" s="57"/>
      <c r="R73" t="s">
        <v>30</v>
      </c>
    </row>
    <row r="74" spans="1:18" ht="16.5">
      <c r="A74" s="50"/>
      <c r="B74" s="55"/>
      <c r="C74" s="56"/>
      <c r="D74" s="23"/>
      <c r="E74" s="41"/>
      <c r="F74" s="41"/>
      <c r="G74" s="42"/>
      <c r="H74" s="50"/>
      <c r="I74" s="51"/>
      <c r="J74" s="52"/>
      <c r="K74" s="45"/>
      <c r="L74" s="46"/>
      <c r="M74" s="284"/>
      <c r="N74" s="57"/>
    </row>
    <row r="75" spans="1:18">
      <c r="A75" s="58"/>
      <c r="B75" s="59"/>
      <c r="C75" s="60"/>
      <c r="D75" s="60"/>
      <c r="E75" s="41"/>
      <c r="F75" s="41"/>
      <c r="G75" s="61"/>
      <c r="H75" s="62"/>
      <c r="I75" s="59"/>
      <c r="J75" s="63"/>
      <c r="K75" s="64"/>
      <c r="L75" s="65"/>
      <c r="M75" s="17"/>
      <c r="N75" s="17"/>
    </row>
    <row r="76" spans="1:18">
      <c r="A76" s="66"/>
      <c r="B76" s="67"/>
      <c r="C76" s="68"/>
      <c r="D76" s="278" t="s">
        <v>77</v>
      </c>
      <c r="E76" s="95"/>
      <c r="F76" s="290">
        <f>SUM(F69:F75)</f>
        <v>1800</v>
      </c>
      <c r="G76" s="70"/>
      <c r="H76" s="277" t="s">
        <v>78</v>
      </c>
      <c r="I76" s="278"/>
      <c r="J76" s="290">
        <f>SUM(J69:J75)</f>
        <v>90</v>
      </c>
      <c r="K76" s="70"/>
      <c r="L76" s="65"/>
      <c r="M76" s="71"/>
      <c r="N76" s="72"/>
    </row>
    <row r="77" spans="1:18">
      <c r="A77" s="73"/>
      <c r="B77" s="74"/>
      <c r="C77" s="74"/>
      <c r="D77" s="280"/>
      <c r="E77" s="75"/>
      <c r="F77" s="291"/>
      <c r="G77" s="76"/>
      <c r="H77" s="279"/>
      <c r="I77" s="280"/>
      <c r="J77" s="291"/>
      <c r="K77" s="76"/>
      <c r="L77" s="65"/>
      <c r="M77" s="55" t="s">
        <v>79</v>
      </c>
      <c r="N77" s="72"/>
    </row>
    <row r="78" spans="1:18">
      <c r="A78" s="272" t="s">
        <v>60</v>
      </c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79"/>
    </row>
    <row r="79" spans="1:18">
      <c r="A79" s="270" t="s">
        <v>61</v>
      </c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1"/>
    </row>
    <row r="80" spans="1:18">
      <c r="A80" s="270" t="s">
        <v>62</v>
      </c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1"/>
    </row>
    <row r="81" spans="1:1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8" ht="15.6" customHeight="1">
      <c r="A82" s="271" t="s">
        <v>63</v>
      </c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1"/>
    </row>
    <row r="83" spans="1:18" ht="15.6" customHeight="1">
      <c r="A83" s="1"/>
      <c r="B83" s="1"/>
      <c r="C83" s="1"/>
      <c r="D83" s="15"/>
      <c r="E83" s="15"/>
      <c r="F83" s="15"/>
      <c r="G83" s="15"/>
      <c r="H83" s="15"/>
      <c r="I83" s="15"/>
      <c r="J83" s="15"/>
      <c r="K83" s="15"/>
      <c r="L83" s="15"/>
      <c r="M83" s="1"/>
      <c r="N83" s="1"/>
    </row>
    <row r="84" spans="1:18">
      <c r="A84" s="22" t="s">
        <v>8</v>
      </c>
      <c r="B84" s="274">
        <v>202111</v>
      </c>
      <c r="C84" s="274"/>
      <c r="D84" s="22" t="s">
        <v>64</v>
      </c>
      <c r="E84" s="274" t="s">
        <v>88</v>
      </c>
      <c r="F84" s="274"/>
      <c r="G84" s="17"/>
      <c r="H84" s="22" t="s">
        <v>7</v>
      </c>
      <c r="I84" s="16" t="s">
        <v>89</v>
      </c>
      <c r="J84" s="276" t="s">
        <v>65</v>
      </c>
      <c r="K84" s="276"/>
      <c r="L84" s="276"/>
      <c r="M84" s="88"/>
      <c r="N84" s="88"/>
      <c r="O84" s="80">
        <v>5</v>
      </c>
    </row>
    <row r="85" spans="1:18">
      <c r="A85" s="20"/>
      <c r="B85" s="20"/>
      <c r="C85" s="21"/>
      <c r="D85" s="22"/>
      <c r="E85" s="22"/>
      <c r="F85" s="23"/>
      <c r="G85" s="23"/>
      <c r="H85" s="22"/>
      <c r="I85" s="21"/>
      <c r="J85" s="24"/>
      <c r="K85" s="24"/>
      <c r="L85" s="24"/>
      <c r="M85" s="23"/>
      <c r="N85" s="23"/>
      <c r="O85" s="81"/>
    </row>
    <row r="86" spans="1:18">
      <c r="A86" s="277" t="s">
        <v>66</v>
      </c>
      <c r="B86" s="278"/>
      <c r="C86" s="247"/>
      <c r="D86" s="285" t="s">
        <v>67</v>
      </c>
      <c r="E86" s="285" t="s">
        <v>68</v>
      </c>
      <c r="F86" s="285"/>
      <c r="G86" s="249"/>
      <c r="H86" s="277" t="s">
        <v>69</v>
      </c>
      <c r="I86" s="278" t="s">
        <v>67</v>
      </c>
      <c r="J86" s="285" t="s">
        <v>68</v>
      </c>
      <c r="K86" s="249"/>
      <c r="L86" s="47"/>
      <c r="M86" s="294" t="s">
        <v>70</v>
      </c>
      <c r="N86" s="26"/>
      <c r="O86" s="82" t="s">
        <v>10</v>
      </c>
    </row>
    <row r="87" spans="1:18">
      <c r="A87" s="279"/>
      <c r="B87" s="280"/>
      <c r="C87" s="250"/>
      <c r="D87" s="286"/>
      <c r="E87" s="286"/>
      <c r="F87" s="286"/>
      <c r="G87" s="252"/>
      <c r="H87" s="279"/>
      <c r="I87" s="280"/>
      <c r="J87" s="286"/>
      <c r="K87" s="252"/>
      <c r="L87" s="47"/>
      <c r="M87" s="295"/>
      <c r="N87" s="26"/>
      <c r="O87" s="83">
        <f>F88</f>
        <v>18000</v>
      </c>
    </row>
    <row r="88" spans="1:18">
      <c r="A88" s="296" t="s">
        <v>71</v>
      </c>
      <c r="B88" s="297"/>
      <c r="C88" s="29"/>
      <c r="D88" s="29"/>
      <c r="E88" s="29"/>
      <c r="F88" s="33">
        <v>18000</v>
      </c>
      <c r="G88" s="31"/>
      <c r="H88" s="28" t="s">
        <v>72</v>
      </c>
      <c r="I88" s="32">
        <v>0.05</v>
      </c>
      <c r="J88" s="33">
        <f>IF(F88&lt;17500,F88*5%,17500*5%)</f>
        <v>875</v>
      </c>
      <c r="K88" s="31"/>
      <c r="L88" s="34"/>
      <c r="M88" s="86" t="str">
        <f>M11</f>
        <v>31 มกราคม 2569</v>
      </c>
      <c r="N88" s="87"/>
      <c r="O88" s="82" t="s">
        <v>80</v>
      </c>
      <c r="R88" t="s">
        <v>30</v>
      </c>
    </row>
    <row r="89" spans="1:18">
      <c r="A89" s="273"/>
      <c r="B89" s="274"/>
      <c r="C89" s="18"/>
      <c r="D89" s="105"/>
      <c r="E89" s="18"/>
      <c r="F89" s="44"/>
      <c r="G89" s="42"/>
      <c r="H89" s="90"/>
      <c r="I89" s="43"/>
      <c r="J89" s="91"/>
      <c r="K89" s="45"/>
      <c r="L89" s="46"/>
      <c r="M89" s="47"/>
      <c r="N89" s="47"/>
      <c r="O89" s="92">
        <f>(((O87/30)/8)/60)</f>
        <v>1.25</v>
      </c>
    </row>
    <row r="90" spans="1:18">
      <c r="A90" s="273"/>
      <c r="B90" s="274"/>
      <c r="C90" s="2"/>
      <c r="D90" s="2"/>
      <c r="E90" s="18"/>
      <c r="F90" s="44"/>
      <c r="G90" s="42"/>
      <c r="H90" s="50"/>
      <c r="I90" s="51"/>
      <c r="J90" s="52"/>
      <c r="K90" s="45"/>
      <c r="L90" s="46"/>
      <c r="M90" s="294" t="s">
        <v>76</v>
      </c>
      <c r="N90" s="26"/>
    </row>
    <row r="91" spans="1:18">
      <c r="A91" s="90"/>
      <c r="B91" s="43"/>
      <c r="C91" s="88"/>
      <c r="D91" s="88"/>
      <c r="E91" s="18"/>
      <c r="F91" s="44"/>
      <c r="G91" s="42"/>
      <c r="H91" s="50"/>
      <c r="I91" s="51"/>
      <c r="J91" s="52"/>
      <c r="K91" s="45"/>
      <c r="L91" s="46"/>
      <c r="M91" s="295"/>
      <c r="N91" s="26"/>
      <c r="O91" s="94"/>
    </row>
    <row r="92" spans="1:18" ht="16.5">
      <c r="A92" s="50"/>
      <c r="B92" s="55"/>
      <c r="C92" s="56"/>
      <c r="D92" s="23"/>
      <c r="E92" s="18"/>
      <c r="F92" s="44"/>
      <c r="G92" s="42"/>
      <c r="H92" s="50"/>
      <c r="I92" s="51"/>
      <c r="J92" s="52"/>
      <c r="K92" s="45"/>
      <c r="L92" s="46"/>
      <c r="M92" s="283">
        <f>E95-J95</f>
        <v>17125</v>
      </c>
      <c r="N92" s="57"/>
    </row>
    <row r="93" spans="1:18" ht="16.5">
      <c r="A93" s="50"/>
      <c r="B93" s="55"/>
      <c r="C93" s="56"/>
      <c r="D93" s="23"/>
      <c r="E93" s="18"/>
      <c r="F93" s="44"/>
      <c r="G93" s="42"/>
      <c r="H93" s="50"/>
      <c r="I93" s="51"/>
      <c r="J93" s="52"/>
      <c r="K93" s="45"/>
      <c r="L93" s="46"/>
      <c r="M93" s="284"/>
      <c r="N93" s="57"/>
    </row>
    <row r="94" spans="1:18">
      <c r="A94" s="58"/>
      <c r="B94" s="59"/>
      <c r="C94" s="60"/>
      <c r="D94" s="60"/>
      <c r="E94" s="106"/>
      <c r="F94" s="107"/>
      <c r="G94" s="61"/>
      <c r="H94" s="62"/>
      <c r="I94" s="59"/>
      <c r="J94" s="63"/>
      <c r="K94" s="64"/>
      <c r="L94" s="65"/>
      <c r="M94" s="17"/>
      <c r="N94" s="17"/>
    </row>
    <row r="95" spans="1:18">
      <c r="A95" s="66"/>
      <c r="B95" s="67"/>
      <c r="C95" s="68"/>
      <c r="D95" s="278" t="s">
        <v>77</v>
      </c>
      <c r="E95" s="303">
        <f>SUM(F88:F91)</f>
        <v>18000</v>
      </c>
      <c r="F95" s="303"/>
      <c r="G95" s="70"/>
      <c r="H95" s="277" t="s">
        <v>78</v>
      </c>
      <c r="I95" s="278"/>
      <c r="J95" s="290">
        <f>SUM(J88:J94)</f>
        <v>875</v>
      </c>
      <c r="K95" s="70"/>
      <c r="L95" s="65"/>
      <c r="M95" s="71"/>
      <c r="N95" s="72"/>
    </row>
    <row r="96" spans="1:18">
      <c r="A96" s="73"/>
      <c r="B96" s="74"/>
      <c r="C96" s="74"/>
      <c r="D96" s="280"/>
      <c r="E96" s="304"/>
      <c r="F96" s="304"/>
      <c r="G96" s="76"/>
      <c r="H96" s="279"/>
      <c r="I96" s="280"/>
      <c r="J96" s="291"/>
      <c r="K96" s="76"/>
      <c r="L96" s="65"/>
      <c r="M96" s="55" t="s">
        <v>79</v>
      </c>
      <c r="N96" s="72"/>
    </row>
    <row r="97" spans="1:18">
      <c r="A97" s="272" t="s">
        <v>60</v>
      </c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79"/>
    </row>
    <row r="98" spans="1:18">
      <c r="A98" s="270" t="s">
        <v>61</v>
      </c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1"/>
    </row>
    <row r="99" spans="1:18">
      <c r="A99" s="270" t="s">
        <v>62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1"/>
      <c r="Q99" t="s">
        <v>30</v>
      </c>
    </row>
    <row r="100" spans="1:1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8" ht="15" customHeight="1">
      <c r="A101" s="271" t="s">
        <v>63</v>
      </c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1"/>
    </row>
    <row r="102" spans="1:18" ht="15" customHeight="1">
      <c r="A102" s="1"/>
      <c r="B102" s="1"/>
      <c r="C102" s="1"/>
      <c r="D102" s="15"/>
      <c r="E102" s="15"/>
      <c r="F102" s="15"/>
      <c r="G102" s="15"/>
      <c r="H102" s="15"/>
      <c r="I102" s="15"/>
      <c r="J102" s="15"/>
      <c r="K102" s="15"/>
      <c r="L102" s="15"/>
      <c r="M102" s="1"/>
      <c r="N102" s="1"/>
    </row>
    <row r="103" spans="1:18">
      <c r="A103" s="22" t="s">
        <v>8</v>
      </c>
      <c r="B103" s="274">
        <v>202139</v>
      </c>
      <c r="C103" s="274"/>
      <c r="D103" s="22" t="s">
        <v>64</v>
      </c>
      <c r="E103" s="274" t="s">
        <v>90</v>
      </c>
      <c r="F103" s="274"/>
      <c r="G103" s="17"/>
      <c r="H103" s="22" t="s">
        <v>7</v>
      </c>
      <c r="I103" s="16" t="s">
        <v>53</v>
      </c>
      <c r="J103" s="276" t="s">
        <v>65</v>
      </c>
      <c r="K103" s="276"/>
      <c r="L103" s="276"/>
      <c r="M103" s="18" t="s">
        <v>54</v>
      </c>
      <c r="N103" s="18"/>
      <c r="O103" s="80">
        <v>6</v>
      </c>
    </row>
    <row r="104" spans="1:18">
      <c r="A104" s="20"/>
      <c r="B104" s="20"/>
      <c r="C104" s="21"/>
      <c r="D104" s="22"/>
      <c r="E104" s="22"/>
      <c r="F104" s="23"/>
      <c r="G104" s="23"/>
      <c r="H104" s="22"/>
      <c r="I104" s="21"/>
      <c r="J104" s="24"/>
      <c r="K104" s="24"/>
      <c r="L104" s="24"/>
      <c r="M104" s="23"/>
      <c r="N104" s="23"/>
      <c r="O104" s="81"/>
    </row>
    <row r="105" spans="1:18">
      <c r="A105" s="277" t="s">
        <v>66</v>
      </c>
      <c r="B105" s="278"/>
      <c r="C105" s="247"/>
      <c r="D105" s="278" t="s">
        <v>67</v>
      </c>
      <c r="E105" s="278" t="s">
        <v>91</v>
      </c>
      <c r="F105" s="278" t="s">
        <v>68</v>
      </c>
      <c r="G105" s="292"/>
      <c r="H105" s="277" t="s">
        <v>69</v>
      </c>
      <c r="I105" s="278" t="s">
        <v>67</v>
      </c>
      <c r="J105" s="285" t="s">
        <v>68</v>
      </c>
      <c r="K105" s="249"/>
      <c r="L105" s="47"/>
      <c r="M105" s="294" t="s">
        <v>70</v>
      </c>
      <c r="N105" s="26"/>
      <c r="O105" s="82" t="s">
        <v>10</v>
      </c>
    </row>
    <row r="106" spans="1:18">
      <c r="A106" s="279"/>
      <c r="B106" s="280"/>
      <c r="C106" s="250"/>
      <c r="D106" s="280"/>
      <c r="E106" s="280"/>
      <c r="F106" s="280"/>
      <c r="G106" s="293"/>
      <c r="H106" s="279"/>
      <c r="I106" s="280"/>
      <c r="J106" s="286"/>
      <c r="K106" s="252"/>
      <c r="L106" s="47"/>
      <c r="M106" s="295"/>
      <c r="N106" s="26"/>
      <c r="O106" s="83">
        <f>F107</f>
        <v>25000</v>
      </c>
    </row>
    <row r="107" spans="1:18">
      <c r="A107" s="296" t="s">
        <v>71</v>
      </c>
      <c r="B107" s="297"/>
      <c r="C107" s="29"/>
      <c r="D107" s="108"/>
      <c r="E107" s="108"/>
      <c r="F107" s="109">
        <f>'[1]สรุปอินฟินิท เบรน68'!F81</f>
        <v>25000</v>
      </c>
      <c r="G107" s="31"/>
      <c r="H107" s="28" t="s">
        <v>72</v>
      </c>
      <c r="I107" s="102">
        <v>0.05</v>
      </c>
      <c r="J107" s="33">
        <f>IF(F107&lt;17500,F107*5%,17500*5%)</f>
        <v>875</v>
      </c>
      <c r="K107" s="31"/>
      <c r="L107" s="34"/>
      <c r="M107" s="86" t="str">
        <f>M11</f>
        <v>31 มกราคม 2569</v>
      </c>
      <c r="N107" s="87"/>
      <c r="O107" s="82" t="s">
        <v>80</v>
      </c>
    </row>
    <row r="108" spans="1:18">
      <c r="A108" s="273"/>
      <c r="B108" s="274"/>
      <c r="C108" s="110"/>
      <c r="D108" s="111"/>
      <c r="E108" s="112"/>
      <c r="F108" s="113"/>
      <c r="G108" s="42"/>
      <c r="H108" s="114" t="s">
        <v>92</v>
      </c>
      <c r="I108" s="115">
        <v>148</v>
      </c>
      <c r="J108" s="113">
        <f>I108*O108</f>
        <v>256.94444444444446</v>
      </c>
      <c r="K108" s="45"/>
      <c r="L108" s="46"/>
      <c r="M108" s="47"/>
      <c r="N108" s="47"/>
      <c r="O108" s="92">
        <f>(((O106/30)/8)/60)</f>
        <v>1.7361111111111112</v>
      </c>
    </row>
    <row r="109" spans="1:18">
      <c r="A109" s="281"/>
      <c r="B109" s="282"/>
      <c r="C109" s="8"/>
      <c r="D109" s="111"/>
      <c r="E109" s="111"/>
      <c r="F109" s="113"/>
      <c r="G109" s="42"/>
      <c r="H109" s="117"/>
      <c r="I109" s="51"/>
      <c r="J109" s="103"/>
      <c r="K109" s="45"/>
      <c r="L109" s="46"/>
      <c r="M109" s="294" t="s">
        <v>76</v>
      </c>
      <c r="N109" s="26"/>
    </row>
    <row r="110" spans="1:18" ht="16.5" customHeight="1">
      <c r="A110" s="281"/>
      <c r="B110" s="282"/>
      <c r="C110" s="88"/>
      <c r="D110" s="88"/>
      <c r="E110" s="88"/>
      <c r="F110" s="118"/>
      <c r="G110" s="42"/>
      <c r="H110" s="50"/>
      <c r="I110" s="51"/>
      <c r="J110" s="52"/>
      <c r="K110" s="45"/>
      <c r="L110" s="46"/>
      <c r="M110" s="295"/>
      <c r="N110" s="26"/>
      <c r="O110" s="94"/>
      <c r="P110" s="18"/>
      <c r="Q110" s="119"/>
      <c r="R110" s="44"/>
    </row>
    <row r="111" spans="1:18" ht="17.100000000000001" customHeight="1">
      <c r="A111" s="281"/>
      <c r="B111" s="282"/>
      <c r="C111" s="56"/>
      <c r="D111" s="23" t="s">
        <v>30</v>
      </c>
      <c r="E111" s="23"/>
      <c r="F111" s="120"/>
      <c r="G111" s="42"/>
      <c r="H111" s="50"/>
      <c r="I111" s="51"/>
      <c r="J111" s="52"/>
      <c r="K111" s="45"/>
      <c r="L111" s="46"/>
      <c r="M111" s="283">
        <f>F114-J114</f>
        <v>23868.055555555555</v>
      </c>
      <c r="N111" s="57"/>
    </row>
    <row r="112" spans="1:18" ht="16.5">
      <c r="A112" s="281"/>
      <c r="B112" s="282"/>
      <c r="C112" s="56"/>
      <c r="D112" s="23"/>
      <c r="E112" s="23"/>
      <c r="F112" s="120"/>
      <c r="G112" s="42"/>
      <c r="H112" s="50"/>
      <c r="I112" s="51"/>
      <c r="J112" s="52"/>
      <c r="K112" s="45"/>
      <c r="L112" s="46"/>
      <c r="M112" s="284"/>
      <c r="N112" s="57"/>
    </row>
    <row r="113" spans="1:17">
      <c r="A113" s="281"/>
      <c r="B113" s="282"/>
      <c r="C113" s="60"/>
      <c r="D113" s="60"/>
      <c r="E113" s="60"/>
      <c r="F113" s="121"/>
      <c r="G113" s="61"/>
      <c r="H113" s="62"/>
      <c r="I113" s="59"/>
      <c r="J113" s="63"/>
      <c r="K113" s="64"/>
      <c r="L113" s="65"/>
      <c r="M113" s="17"/>
      <c r="N113" s="17"/>
    </row>
    <row r="114" spans="1:17">
      <c r="A114" s="66"/>
      <c r="B114" s="67"/>
      <c r="C114" s="68"/>
      <c r="D114" s="278" t="s">
        <v>77</v>
      </c>
      <c r="E114" s="25"/>
      <c r="F114" s="290">
        <f>F107+F108</f>
        <v>25000</v>
      </c>
      <c r="G114" s="70"/>
      <c r="H114" s="277" t="s">
        <v>78</v>
      </c>
      <c r="I114" s="278"/>
      <c r="J114" s="290">
        <f>SUM(J107:J113)</f>
        <v>1131.9444444444443</v>
      </c>
      <c r="K114" s="70"/>
      <c r="L114" s="65"/>
      <c r="M114" s="122"/>
      <c r="N114" s="72"/>
    </row>
    <row r="115" spans="1:17">
      <c r="A115" s="73"/>
      <c r="B115" s="74"/>
      <c r="C115" s="74"/>
      <c r="D115" s="280"/>
      <c r="E115" s="27"/>
      <c r="F115" s="291"/>
      <c r="G115" s="76"/>
      <c r="H115" s="279"/>
      <c r="I115" s="280"/>
      <c r="J115" s="291"/>
      <c r="K115" s="76"/>
      <c r="L115" s="65"/>
      <c r="M115" s="55" t="s">
        <v>79</v>
      </c>
      <c r="N115" s="72"/>
      <c r="Q115" t="s">
        <v>30</v>
      </c>
    </row>
    <row r="116" spans="1:17">
      <c r="A116" s="272" t="s">
        <v>60</v>
      </c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79"/>
    </row>
    <row r="117" spans="1:17">
      <c r="A117" s="270" t="s">
        <v>61</v>
      </c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1"/>
    </row>
    <row r="118" spans="1:17">
      <c r="A118" s="270" t="s">
        <v>62</v>
      </c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1"/>
      <c r="P118" s="123"/>
    </row>
    <row r="119" spans="1:17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7" ht="15.6" customHeight="1">
      <c r="A120" s="271" t="s">
        <v>63</v>
      </c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1"/>
    </row>
    <row r="121" spans="1:17" ht="15.6" customHeight="1">
      <c r="A121" s="1"/>
      <c r="B121" s="1"/>
      <c r="C121" s="1"/>
      <c r="D121" s="15"/>
      <c r="E121" s="15"/>
      <c r="F121" s="15"/>
      <c r="G121" s="15"/>
      <c r="H121" s="15"/>
      <c r="I121" s="15"/>
      <c r="J121" s="15"/>
      <c r="K121" s="15"/>
      <c r="L121" s="15"/>
      <c r="M121" s="1"/>
      <c r="N121" s="1"/>
    </row>
    <row r="122" spans="1:17">
      <c r="A122" s="22" t="s">
        <v>8</v>
      </c>
      <c r="B122" s="274">
        <v>202141</v>
      </c>
      <c r="C122" s="274"/>
      <c r="D122" s="22" t="s">
        <v>64</v>
      </c>
      <c r="E122" s="287" t="s">
        <v>24</v>
      </c>
      <c r="F122" s="287"/>
      <c r="G122" s="17"/>
      <c r="H122" s="22" t="s">
        <v>7</v>
      </c>
      <c r="I122" s="16" t="s">
        <v>25</v>
      </c>
      <c r="J122" s="276" t="s">
        <v>65</v>
      </c>
      <c r="K122" s="276"/>
      <c r="L122" s="276"/>
      <c r="M122" s="18" t="s">
        <v>26</v>
      </c>
      <c r="N122" s="18"/>
      <c r="O122" s="80">
        <v>7</v>
      </c>
    </row>
    <row r="123" spans="1:17">
      <c r="A123" s="20"/>
      <c r="B123" s="20"/>
      <c r="C123" s="21"/>
      <c r="D123" s="22"/>
      <c r="E123" s="22"/>
      <c r="F123" s="23"/>
      <c r="G123" s="23"/>
      <c r="H123" s="22"/>
      <c r="I123" s="21"/>
      <c r="J123" s="24"/>
      <c r="K123" s="24"/>
      <c r="L123" s="24"/>
      <c r="M123" s="23"/>
      <c r="N123" s="23"/>
      <c r="O123" s="81"/>
    </row>
    <row r="124" spans="1:17">
      <c r="A124" s="277" t="s">
        <v>66</v>
      </c>
      <c r="B124" s="278"/>
      <c r="C124" s="247"/>
      <c r="D124" s="285" t="s">
        <v>67</v>
      </c>
      <c r="E124" s="285" t="s">
        <v>68</v>
      </c>
      <c r="F124" s="285"/>
      <c r="G124" s="249"/>
      <c r="H124" s="277" t="s">
        <v>69</v>
      </c>
      <c r="I124" s="278" t="s">
        <v>67</v>
      </c>
      <c r="J124" s="285" t="s">
        <v>68</v>
      </c>
      <c r="K124" s="249"/>
      <c r="L124" s="47"/>
      <c r="M124" s="294" t="s">
        <v>70</v>
      </c>
      <c r="N124" s="26"/>
      <c r="O124" s="82" t="s">
        <v>10</v>
      </c>
    </row>
    <row r="125" spans="1:17">
      <c r="A125" s="279"/>
      <c r="B125" s="280"/>
      <c r="C125" s="250"/>
      <c r="D125" s="286"/>
      <c r="E125" s="286"/>
      <c r="F125" s="286"/>
      <c r="G125" s="252"/>
      <c r="H125" s="279"/>
      <c r="I125" s="280"/>
      <c r="J125" s="286"/>
      <c r="K125" s="252"/>
      <c r="L125" s="47"/>
      <c r="M125" s="295"/>
      <c r="N125" s="26"/>
      <c r="O125" s="83">
        <f>F126+F127</f>
        <v>20000</v>
      </c>
    </row>
    <row r="126" spans="1:17">
      <c r="A126" s="296" t="s">
        <v>71</v>
      </c>
      <c r="B126" s="297"/>
      <c r="C126" s="29"/>
      <c r="D126" s="108"/>
      <c r="E126" s="108"/>
      <c r="F126" s="109">
        <f>'[1]สรุปอินฟินิท เบรน68'!F82</f>
        <v>20000</v>
      </c>
      <c r="G126" s="31"/>
      <c r="H126" s="28" t="s">
        <v>72</v>
      </c>
      <c r="I126" s="102">
        <v>0.05</v>
      </c>
      <c r="J126" s="33">
        <f>IF(F126&lt;17500,F126*5%,17500*5%)</f>
        <v>875</v>
      </c>
      <c r="K126" s="31"/>
      <c r="L126" s="34"/>
      <c r="M126" s="86" t="str">
        <f>M11</f>
        <v>31 มกราคม 2569</v>
      </c>
      <c r="N126" s="87"/>
      <c r="O126" s="82" t="s">
        <v>80</v>
      </c>
    </row>
    <row r="127" spans="1:17">
      <c r="A127" s="299"/>
      <c r="B127" s="287"/>
      <c r="C127" s="88"/>
      <c r="D127" s="124"/>
      <c r="E127" s="125"/>
      <c r="F127" s="113"/>
      <c r="G127" s="42"/>
      <c r="H127" s="114"/>
      <c r="I127" s="126"/>
      <c r="J127" s="113"/>
      <c r="K127" s="45"/>
      <c r="L127" s="46"/>
      <c r="M127" s="47"/>
      <c r="N127" s="47"/>
      <c r="O127" s="92">
        <f>(((O125/30)/8)/60)</f>
        <v>1.3888888888888888</v>
      </c>
    </row>
    <row r="128" spans="1:17">
      <c r="A128" s="299"/>
      <c r="B128" s="287"/>
      <c r="C128" s="88"/>
      <c r="D128" s="127"/>
      <c r="E128" s="125"/>
      <c r="F128" s="113"/>
      <c r="G128" s="42"/>
      <c r="H128" s="39"/>
      <c r="I128" s="100"/>
      <c r="J128" s="44"/>
      <c r="K128" s="45"/>
      <c r="L128" s="46"/>
      <c r="M128" s="294" t="s">
        <v>76</v>
      </c>
      <c r="N128" s="26"/>
    </row>
    <row r="129" spans="1:15" ht="16.5" customHeight="1">
      <c r="A129" s="273"/>
      <c r="B129" s="274"/>
      <c r="C129" s="88"/>
      <c r="D129" s="88"/>
      <c r="E129" s="88"/>
      <c r="F129" s="118"/>
      <c r="G129" s="42"/>
      <c r="H129" s="50"/>
      <c r="I129" s="51"/>
      <c r="J129" s="52"/>
      <c r="K129" s="45"/>
      <c r="L129" s="46"/>
      <c r="M129" s="295"/>
      <c r="N129" s="26"/>
      <c r="O129" s="94"/>
    </row>
    <row r="130" spans="1:15" ht="17.100000000000001" customHeight="1">
      <c r="A130" s="273"/>
      <c r="B130" s="274"/>
      <c r="C130" s="56"/>
      <c r="D130" s="23"/>
      <c r="E130" s="23"/>
      <c r="F130" s="120"/>
      <c r="G130" s="42"/>
      <c r="H130" s="50"/>
      <c r="I130" s="51"/>
      <c r="J130" s="52"/>
      <c r="K130" s="45"/>
      <c r="L130" s="46"/>
      <c r="M130" s="283">
        <f>F133-J133</f>
        <v>19125</v>
      </c>
      <c r="N130" s="57"/>
    </row>
    <row r="131" spans="1:15" ht="16.5">
      <c r="A131" s="273"/>
      <c r="B131" s="274"/>
      <c r="C131" s="56"/>
      <c r="D131" s="23"/>
      <c r="E131" s="23"/>
      <c r="F131" s="120"/>
      <c r="G131" s="42"/>
      <c r="H131" s="50"/>
      <c r="I131" s="51"/>
      <c r="J131" s="52"/>
      <c r="K131" s="45"/>
      <c r="L131" s="46"/>
      <c r="M131" s="284"/>
      <c r="N131" s="57"/>
    </row>
    <row r="132" spans="1:15">
      <c r="A132" s="288"/>
      <c r="B132" s="289"/>
      <c r="C132" s="60"/>
      <c r="D132" s="60"/>
      <c r="E132" s="60"/>
      <c r="F132" s="121"/>
      <c r="G132" s="61"/>
      <c r="H132" s="62"/>
      <c r="I132" s="59"/>
      <c r="J132" s="63"/>
      <c r="K132" s="64"/>
      <c r="L132" s="65"/>
      <c r="M132" s="17"/>
      <c r="N132" s="17"/>
    </row>
    <row r="133" spans="1:15">
      <c r="A133" s="66"/>
      <c r="B133" s="67"/>
      <c r="C133" s="68"/>
      <c r="D133" s="278" t="s">
        <v>77</v>
      </c>
      <c r="E133" s="25"/>
      <c r="F133" s="290">
        <f>SUM(F126:F132)</f>
        <v>20000</v>
      </c>
      <c r="G133" s="70"/>
      <c r="H133" s="277" t="s">
        <v>78</v>
      </c>
      <c r="I133" s="278"/>
      <c r="J133" s="290">
        <f>SUM(J126:J132)</f>
        <v>875</v>
      </c>
      <c r="K133" s="70"/>
      <c r="L133" s="65"/>
      <c r="M133" s="122"/>
      <c r="N133" s="72"/>
    </row>
    <row r="134" spans="1:15">
      <c r="A134" s="73"/>
      <c r="B134" s="74"/>
      <c r="C134" s="74"/>
      <c r="D134" s="280"/>
      <c r="E134" s="27"/>
      <c r="F134" s="291"/>
      <c r="G134" s="76"/>
      <c r="H134" s="279"/>
      <c r="I134" s="280"/>
      <c r="J134" s="291"/>
      <c r="K134" s="76"/>
      <c r="L134" s="65"/>
      <c r="M134" s="55" t="s">
        <v>79</v>
      </c>
      <c r="N134" s="72"/>
    </row>
    <row r="135" spans="1:15">
      <c r="A135" s="272" t="s">
        <v>60</v>
      </c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79"/>
    </row>
    <row r="136" spans="1:15">
      <c r="A136" s="270" t="s">
        <v>61</v>
      </c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1"/>
    </row>
    <row r="137" spans="1:15">
      <c r="A137" s="270" t="s">
        <v>62</v>
      </c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1"/>
    </row>
    <row r="138" spans="1: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5" ht="15" customHeight="1">
      <c r="A139" s="271" t="s">
        <v>63</v>
      </c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1"/>
    </row>
    <row r="140" spans="1:15" ht="15" customHeight="1">
      <c r="A140" s="1"/>
      <c r="B140" s="1"/>
      <c r="C140" s="1"/>
      <c r="D140" s="15"/>
      <c r="E140" s="15"/>
      <c r="F140" s="15"/>
      <c r="G140" s="15"/>
      <c r="H140" s="15"/>
      <c r="I140" s="15"/>
      <c r="J140" s="15"/>
      <c r="K140" s="15"/>
      <c r="L140" s="15"/>
      <c r="M140" s="1"/>
      <c r="N140" s="1"/>
    </row>
    <row r="141" spans="1:15">
      <c r="A141" s="22" t="s">
        <v>8</v>
      </c>
      <c r="B141" s="16">
        <v>202147</v>
      </c>
      <c r="D141" s="22" t="s">
        <v>64</v>
      </c>
      <c r="E141" s="274" t="s">
        <v>93</v>
      </c>
      <c r="F141" s="274"/>
      <c r="G141" s="17"/>
      <c r="H141" s="22" t="s">
        <v>7</v>
      </c>
      <c r="I141" s="16" t="s">
        <v>94</v>
      </c>
      <c r="J141" s="276" t="s">
        <v>65</v>
      </c>
      <c r="K141" s="276"/>
      <c r="L141" s="276"/>
      <c r="M141" s="88"/>
      <c r="N141" s="18"/>
      <c r="O141" s="80">
        <v>8</v>
      </c>
    </row>
    <row r="142" spans="1:15">
      <c r="A142" s="20"/>
      <c r="B142" s="20"/>
      <c r="C142" s="21"/>
      <c r="D142" s="22"/>
      <c r="E142" s="22"/>
      <c r="F142" s="23"/>
      <c r="G142" s="23"/>
      <c r="H142" s="22"/>
      <c r="I142" s="21"/>
      <c r="J142" s="24"/>
      <c r="K142" s="24"/>
      <c r="L142" s="24"/>
      <c r="M142" s="23"/>
      <c r="N142" s="23"/>
      <c r="O142" s="81"/>
    </row>
    <row r="143" spans="1:15">
      <c r="A143" s="277" t="s">
        <v>66</v>
      </c>
      <c r="B143" s="278"/>
      <c r="C143" s="247"/>
      <c r="D143" s="285" t="s">
        <v>67</v>
      </c>
      <c r="E143" s="285" t="s">
        <v>68</v>
      </c>
      <c r="F143" s="285"/>
      <c r="G143" s="249"/>
      <c r="H143" s="277" t="s">
        <v>69</v>
      </c>
      <c r="I143" s="278" t="s">
        <v>67</v>
      </c>
      <c r="J143" s="285" t="s">
        <v>68</v>
      </c>
      <c r="K143" s="249"/>
      <c r="L143" s="47"/>
      <c r="M143" s="294" t="s">
        <v>70</v>
      </c>
      <c r="N143" s="26"/>
      <c r="O143" s="82" t="s">
        <v>10</v>
      </c>
    </row>
    <row r="144" spans="1:15">
      <c r="A144" s="279"/>
      <c r="B144" s="280"/>
      <c r="C144" s="250"/>
      <c r="D144" s="286"/>
      <c r="E144" s="286"/>
      <c r="F144" s="286"/>
      <c r="G144" s="252"/>
      <c r="H144" s="279"/>
      <c r="I144" s="280"/>
      <c r="J144" s="286"/>
      <c r="K144" s="252"/>
      <c r="L144" s="47"/>
      <c r="M144" s="295"/>
      <c r="N144" s="26"/>
      <c r="O144" s="83">
        <f>F145</f>
        <v>17500</v>
      </c>
    </row>
    <row r="145" spans="1:18">
      <c r="A145" s="307" t="s">
        <v>71</v>
      </c>
      <c r="B145" s="308"/>
      <c r="C145" s="29"/>
      <c r="D145" s="29"/>
      <c r="E145" s="29"/>
      <c r="F145" s="109">
        <v>17500</v>
      </c>
      <c r="G145" s="31"/>
      <c r="H145" s="28" t="s">
        <v>72</v>
      </c>
      <c r="I145" s="32">
        <v>0.05</v>
      </c>
      <c r="J145" s="33">
        <f>IF(F145&lt;17500,F145*5%,17500*5%)</f>
        <v>875</v>
      </c>
      <c r="K145" s="31"/>
      <c r="L145" s="34"/>
      <c r="M145" s="86" t="str">
        <f>M11</f>
        <v>31 มกราคม 2569</v>
      </c>
      <c r="N145" s="87"/>
      <c r="O145" s="82" t="s">
        <v>80</v>
      </c>
    </row>
    <row r="146" spans="1:18">
      <c r="A146" s="281"/>
      <c r="B146" s="282"/>
      <c r="C146" s="88"/>
      <c r="D146" s="93"/>
      <c r="E146" s="93"/>
      <c r="F146" s="118"/>
      <c r="G146" s="42"/>
      <c r="H146" s="128"/>
      <c r="I146" s="43"/>
      <c r="J146" s="118"/>
      <c r="K146" s="45"/>
      <c r="L146" s="46"/>
      <c r="M146" s="47"/>
      <c r="N146" s="47"/>
      <c r="O146" s="129">
        <f>(((O144/30)/8)/60)</f>
        <v>1.2152777777777779</v>
      </c>
    </row>
    <row r="147" spans="1:18">
      <c r="A147" s="281"/>
      <c r="B147" s="282"/>
      <c r="C147" s="2"/>
      <c r="D147" s="2"/>
      <c r="E147" s="2"/>
      <c r="G147" s="42"/>
      <c r="H147" s="50"/>
      <c r="I147" s="51"/>
      <c r="J147" s="52"/>
      <c r="K147" s="45"/>
      <c r="L147" s="46"/>
      <c r="M147" s="294" t="s">
        <v>76</v>
      </c>
      <c r="N147" s="26"/>
    </row>
    <row r="148" spans="1:18" ht="16.5" customHeight="1">
      <c r="A148" s="281"/>
      <c r="B148" s="282"/>
      <c r="C148" s="88"/>
      <c r="D148" s="88"/>
      <c r="E148" s="88"/>
      <c r="F148" s="118"/>
      <c r="G148" s="42"/>
      <c r="H148" s="50"/>
      <c r="I148" s="51"/>
      <c r="J148" s="52"/>
      <c r="K148" s="45"/>
      <c r="L148" s="46"/>
      <c r="M148" s="295"/>
      <c r="N148" s="26"/>
      <c r="O148" s="94"/>
    </row>
    <row r="149" spans="1:18" ht="17.100000000000001" customHeight="1">
      <c r="A149" s="281"/>
      <c r="B149" s="282"/>
      <c r="C149" s="56"/>
      <c r="D149" s="23"/>
      <c r="E149" s="23"/>
      <c r="F149" s="120"/>
      <c r="G149" s="42"/>
      <c r="H149" s="50"/>
      <c r="I149" s="51"/>
      <c r="J149" s="52"/>
      <c r="K149" s="45"/>
      <c r="L149" s="46"/>
      <c r="M149" s="283">
        <f>F152-J152</f>
        <v>16625</v>
      </c>
      <c r="N149" s="57"/>
      <c r="R149" t="s">
        <v>30</v>
      </c>
    </row>
    <row r="150" spans="1:18" ht="16.5">
      <c r="A150" s="281"/>
      <c r="B150" s="282"/>
      <c r="C150" s="56"/>
      <c r="D150" s="23"/>
      <c r="E150" s="23"/>
      <c r="F150" s="120"/>
      <c r="G150" s="42"/>
      <c r="H150" s="50"/>
      <c r="I150" s="51"/>
      <c r="J150" s="52"/>
      <c r="K150" s="45"/>
      <c r="L150" s="46"/>
      <c r="M150" s="284"/>
      <c r="N150" s="57"/>
    </row>
    <row r="151" spans="1:18">
      <c r="A151" s="305"/>
      <c r="B151" s="306"/>
      <c r="C151" s="60"/>
      <c r="D151" s="60"/>
      <c r="E151" s="60"/>
      <c r="F151" s="121"/>
      <c r="G151" s="61"/>
      <c r="H151" s="62"/>
      <c r="I151" s="59"/>
      <c r="J151" s="63"/>
      <c r="K151" s="64"/>
      <c r="L151" s="65"/>
      <c r="M151" s="17"/>
      <c r="N151" s="17"/>
    </row>
    <row r="152" spans="1:18">
      <c r="A152" s="66"/>
      <c r="B152" s="67"/>
      <c r="C152" s="68"/>
      <c r="D152" s="278" t="s">
        <v>77</v>
      </c>
      <c r="E152" s="25"/>
      <c r="F152" s="290">
        <f>SUM(F145:F151)</f>
        <v>17500</v>
      </c>
      <c r="G152" s="70"/>
      <c r="H152" s="277" t="s">
        <v>78</v>
      </c>
      <c r="I152" s="278"/>
      <c r="J152" s="290">
        <f>SUM(J145:J151)</f>
        <v>875</v>
      </c>
      <c r="K152" s="70"/>
      <c r="L152" s="65"/>
      <c r="M152" s="122"/>
      <c r="N152" s="72"/>
    </row>
    <row r="153" spans="1:18">
      <c r="A153" s="73"/>
      <c r="B153" s="74"/>
      <c r="C153" s="74"/>
      <c r="D153" s="280"/>
      <c r="E153" s="27"/>
      <c r="F153" s="291"/>
      <c r="G153" s="76"/>
      <c r="H153" s="279"/>
      <c r="I153" s="280"/>
      <c r="J153" s="291"/>
      <c r="K153" s="76"/>
      <c r="L153" s="65"/>
      <c r="M153" s="55" t="s">
        <v>79</v>
      </c>
      <c r="N153" s="72"/>
    </row>
    <row r="154" spans="1:18">
      <c r="A154" s="272" t="s">
        <v>60</v>
      </c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</row>
    <row r="155" spans="1:18" ht="14.45" customHeight="1">
      <c r="A155" s="270" t="s">
        <v>61</v>
      </c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</row>
    <row r="156" spans="1:18">
      <c r="A156" s="270" t="s">
        <v>62</v>
      </c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</row>
    <row r="157" spans="1:1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  <row r="158" spans="1:18" ht="12" customHeight="1">
      <c r="A158" s="271" t="s">
        <v>63</v>
      </c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</row>
    <row r="159" spans="1:18" ht="14.1" customHeight="1">
      <c r="A159" s="1"/>
      <c r="B159" s="1"/>
      <c r="C159" s="1"/>
      <c r="D159" s="15"/>
      <c r="E159" s="15"/>
      <c r="F159" s="15"/>
      <c r="G159" s="15"/>
      <c r="H159" s="15"/>
      <c r="I159" s="15"/>
      <c r="J159" s="15"/>
      <c r="K159" s="15"/>
      <c r="L159" s="15"/>
      <c r="M159" s="1"/>
    </row>
    <row r="160" spans="1:18">
      <c r="A160" s="22" t="s">
        <v>8</v>
      </c>
      <c r="B160" s="16">
        <v>202151</v>
      </c>
      <c r="D160" s="22" t="s">
        <v>64</v>
      </c>
      <c r="E160" s="18" t="s">
        <v>95</v>
      </c>
      <c r="F160" s="88"/>
      <c r="G160" s="17"/>
      <c r="H160" s="22" t="s">
        <v>7</v>
      </c>
      <c r="I160" s="16" t="s">
        <v>35</v>
      </c>
      <c r="J160" s="276" t="s">
        <v>65</v>
      </c>
      <c r="K160" s="276"/>
      <c r="L160" s="276"/>
      <c r="M160" s="18" t="s">
        <v>38</v>
      </c>
      <c r="O160" s="80">
        <v>9</v>
      </c>
    </row>
    <row r="161" spans="1:15">
      <c r="A161" s="20"/>
      <c r="B161" s="20"/>
      <c r="C161" s="21"/>
      <c r="D161" s="22"/>
      <c r="E161" s="22"/>
      <c r="F161" s="23"/>
      <c r="G161" s="23"/>
      <c r="H161" s="22"/>
      <c r="I161" s="21"/>
      <c r="J161" s="24"/>
      <c r="K161" s="24"/>
      <c r="L161" s="24"/>
      <c r="M161" s="23"/>
      <c r="O161" s="81"/>
    </row>
    <row r="162" spans="1:15">
      <c r="A162" s="277" t="s">
        <v>66</v>
      </c>
      <c r="B162" s="278"/>
      <c r="C162" s="247"/>
      <c r="D162" s="278" t="s">
        <v>86</v>
      </c>
      <c r="E162" s="278" t="s">
        <v>87</v>
      </c>
      <c r="F162" s="278" t="s">
        <v>68</v>
      </c>
      <c r="G162" s="249"/>
      <c r="H162" s="277" t="s">
        <v>69</v>
      </c>
      <c r="I162" s="278" t="s">
        <v>67</v>
      </c>
      <c r="J162" s="285" t="s">
        <v>68</v>
      </c>
      <c r="K162" s="249"/>
      <c r="L162" s="47"/>
      <c r="M162" s="294" t="s">
        <v>70</v>
      </c>
      <c r="O162" s="82" t="s">
        <v>10</v>
      </c>
    </row>
    <row r="163" spans="1:15">
      <c r="A163" s="279"/>
      <c r="B163" s="280"/>
      <c r="C163" s="250"/>
      <c r="D163" s="280"/>
      <c r="E163" s="280"/>
      <c r="F163" s="280"/>
      <c r="G163" s="252"/>
      <c r="H163" s="279"/>
      <c r="I163" s="280"/>
      <c r="J163" s="286"/>
      <c r="K163" s="252"/>
      <c r="L163" s="47"/>
      <c r="M163" s="295"/>
      <c r="O163" s="83">
        <f>F164</f>
        <v>15200</v>
      </c>
    </row>
    <row r="164" spans="1:15">
      <c r="A164" s="296" t="s">
        <v>71</v>
      </c>
      <c r="B164" s="297"/>
      <c r="C164" s="131"/>
      <c r="D164" s="100">
        <v>800</v>
      </c>
      <c r="E164" s="100">
        <v>19</v>
      </c>
      <c r="F164" s="84">
        <f>D164*E164</f>
        <v>15200</v>
      </c>
      <c r="G164" s="31"/>
      <c r="H164" s="28" t="s">
        <v>301</v>
      </c>
      <c r="I164" s="102">
        <v>0.03</v>
      </c>
      <c r="J164" s="33">
        <f>F171*3%</f>
        <v>456</v>
      </c>
      <c r="K164" s="31"/>
      <c r="L164" s="34"/>
      <c r="M164" s="86" t="str">
        <f>M11</f>
        <v>31 มกราคม 2569</v>
      </c>
      <c r="O164" s="82" t="s">
        <v>80</v>
      </c>
    </row>
    <row r="165" spans="1:15">
      <c r="A165" s="273"/>
      <c r="B165" s="274"/>
      <c r="C165" s="88"/>
      <c r="D165" s="101"/>
      <c r="E165" s="89"/>
      <c r="F165" s="89"/>
      <c r="G165" s="42"/>
      <c r="H165" s="39"/>
      <c r="I165" s="100"/>
      <c r="J165" s="113"/>
      <c r="K165" s="45"/>
      <c r="L165" s="46"/>
      <c r="M165" s="132"/>
      <c r="O165" s="92">
        <f>(((O163/30)/8)/60)</f>
        <v>1.0555555555555556</v>
      </c>
    </row>
    <row r="166" spans="1:15">
      <c r="A166" s="309"/>
      <c r="B166" s="310"/>
      <c r="C166" s="2"/>
      <c r="D166" s="2"/>
      <c r="E166" s="133"/>
      <c r="F166" s="133"/>
      <c r="G166" s="42"/>
      <c r="H166" s="50"/>
      <c r="I166" s="51"/>
      <c r="J166" s="52"/>
      <c r="K166" s="45"/>
      <c r="L166" s="46"/>
      <c r="M166" s="294" t="s">
        <v>76</v>
      </c>
    </row>
    <row r="167" spans="1:15">
      <c r="A167" s="309"/>
      <c r="B167" s="310"/>
      <c r="C167" s="88"/>
      <c r="D167" s="88"/>
      <c r="E167" s="133"/>
      <c r="F167" s="133"/>
      <c r="G167" s="42"/>
      <c r="H167" s="50"/>
      <c r="I167" s="51"/>
      <c r="J167" s="52"/>
      <c r="K167" s="45"/>
      <c r="L167" s="46"/>
      <c r="M167" s="295"/>
    </row>
    <row r="168" spans="1:15">
      <c r="A168" s="309"/>
      <c r="B168" s="310"/>
      <c r="C168" s="56"/>
      <c r="D168" s="23"/>
      <c r="E168" s="133"/>
      <c r="F168" s="133"/>
      <c r="G168" s="42"/>
      <c r="H168" s="50"/>
      <c r="I168" s="51"/>
      <c r="J168" s="52"/>
      <c r="K168" s="45"/>
      <c r="L168" s="46"/>
      <c r="M168" s="283">
        <f>F171-J171</f>
        <v>14744</v>
      </c>
    </row>
    <row r="169" spans="1:15">
      <c r="A169" s="309"/>
      <c r="B169" s="310"/>
      <c r="C169" s="56"/>
      <c r="D169" s="23"/>
      <c r="E169" s="133"/>
      <c r="F169" s="133"/>
      <c r="G169" s="42"/>
      <c r="H169" s="50"/>
      <c r="I169" s="51"/>
      <c r="J169" s="52"/>
      <c r="K169" s="45"/>
      <c r="L169" s="46"/>
      <c r="M169" s="284"/>
    </row>
    <row r="170" spans="1:15">
      <c r="A170" s="309"/>
      <c r="B170" s="310"/>
      <c r="C170" s="60"/>
      <c r="D170" s="60"/>
      <c r="E170" s="133"/>
      <c r="F170" s="133"/>
      <c r="G170" s="61"/>
      <c r="H170" s="62"/>
      <c r="I170" s="59"/>
      <c r="J170" s="63"/>
      <c r="K170" s="64"/>
      <c r="L170" s="65"/>
      <c r="M170" s="17"/>
    </row>
    <row r="171" spans="1:15">
      <c r="A171" s="66"/>
      <c r="B171" s="67"/>
      <c r="C171" s="68"/>
      <c r="D171" s="278" t="s">
        <v>77</v>
      </c>
      <c r="E171" s="134"/>
      <c r="F171" s="290">
        <f>SUM(F164:F170)</f>
        <v>15200</v>
      </c>
      <c r="G171" s="70"/>
      <c r="H171" s="277" t="s">
        <v>78</v>
      </c>
      <c r="I171" s="278"/>
      <c r="J171" s="290">
        <f>SUM(J164:J170)</f>
        <v>456</v>
      </c>
      <c r="K171" s="70"/>
      <c r="L171" s="65"/>
      <c r="M171" s="71"/>
    </row>
    <row r="172" spans="1:15">
      <c r="A172" s="73"/>
      <c r="B172" s="74"/>
      <c r="C172" s="74"/>
      <c r="D172" s="280"/>
      <c r="E172" s="135"/>
      <c r="F172" s="291"/>
      <c r="G172" s="76"/>
      <c r="H172" s="279"/>
      <c r="I172" s="280"/>
      <c r="J172" s="291"/>
      <c r="K172" s="76"/>
      <c r="L172" s="65"/>
      <c r="M172" s="55" t="s">
        <v>79</v>
      </c>
    </row>
    <row r="173" spans="1:15">
      <c r="A173" s="77"/>
      <c r="B173" s="77"/>
      <c r="C173" s="77"/>
      <c r="D173" s="26"/>
      <c r="E173" s="245"/>
      <c r="F173" s="246"/>
      <c r="G173" s="65"/>
      <c r="H173" s="26"/>
      <c r="I173" s="26"/>
      <c r="J173" s="246"/>
      <c r="K173" s="65"/>
      <c r="L173" s="65"/>
      <c r="M173" s="72"/>
    </row>
    <row r="174" spans="1:15">
      <c r="A174" s="272" t="s">
        <v>60</v>
      </c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</row>
    <row r="175" spans="1:15">
      <c r="A175" s="270" t="s">
        <v>61</v>
      </c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</row>
    <row r="176" spans="1:15">
      <c r="A176" s="270" t="s">
        <v>62</v>
      </c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</row>
    <row r="177" spans="1: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</row>
    <row r="178" spans="1:15" ht="15" customHeight="1">
      <c r="A178" s="271" t="s">
        <v>63</v>
      </c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</row>
    <row r="179" spans="1:15" ht="12.6" customHeight="1">
      <c r="A179" s="1"/>
      <c r="B179" s="1"/>
      <c r="C179" s="1"/>
      <c r="D179" s="15"/>
      <c r="E179" s="15"/>
      <c r="F179" s="15"/>
      <c r="G179" s="15"/>
      <c r="H179" s="253"/>
      <c r="I179" s="15"/>
      <c r="J179" s="15"/>
      <c r="K179" s="15"/>
      <c r="L179" s="15"/>
      <c r="M179" s="1"/>
    </row>
    <row r="180" spans="1:15">
      <c r="A180" s="22" t="s">
        <v>8</v>
      </c>
      <c r="B180" s="16">
        <v>202152</v>
      </c>
      <c r="D180" s="22" t="s">
        <v>64</v>
      </c>
      <c r="E180" s="18" t="s">
        <v>96</v>
      </c>
      <c r="F180" s="88"/>
      <c r="G180" s="17"/>
      <c r="H180" s="254" t="s">
        <v>7</v>
      </c>
      <c r="I180" s="16" t="s">
        <v>94</v>
      </c>
      <c r="J180" s="276" t="s">
        <v>65</v>
      </c>
      <c r="K180" s="276"/>
      <c r="L180" s="276"/>
      <c r="M180" s="130"/>
      <c r="O180" s="80">
        <v>10</v>
      </c>
    </row>
    <row r="181" spans="1:15">
      <c r="A181" s="20"/>
      <c r="B181" s="20"/>
      <c r="C181" s="21"/>
      <c r="D181" s="22"/>
      <c r="E181" s="22"/>
      <c r="F181" s="23"/>
      <c r="G181" s="23"/>
      <c r="H181" s="22"/>
      <c r="I181" s="21"/>
      <c r="J181" s="24"/>
      <c r="K181" s="24"/>
      <c r="L181" s="24"/>
      <c r="M181" s="23"/>
      <c r="O181" s="81"/>
    </row>
    <row r="182" spans="1:15" ht="12.6" customHeight="1">
      <c r="A182" s="277" t="s">
        <v>66</v>
      </c>
      <c r="B182" s="278"/>
      <c r="C182" s="247"/>
      <c r="D182" s="285" t="s">
        <v>67</v>
      </c>
      <c r="E182" s="285" t="s">
        <v>68</v>
      </c>
      <c r="F182" s="285"/>
      <c r="G182" s="249"/>
      <c r="H182" s="277" t="s">
        <v>69</v>
      </c>
      <c r="I182" s="278" t="s">
        <v>67</v>
      </c>
      <c r="J182" s="285" t="s">
        <v>68</v>
      </c>
      <c r="K182" s="249"/>
      <c r="L182" s="47"/>
      <c r="M182" s="294" t="s">
        <v>70</v>
      </c>
      <c r="O182" s="82" t="s">
        <v>10</v>
      </c>
    </row>
    <row r="183" spans="1:15">
      <c r="A183" s="279"/>
      <c r="B183" s="280"/>
      <c r="C183" s="250"/>
      <c r="D183" s="286"/>
      <c r="E183" s="286"/>
      <c r="F183" s="286"/>
      <c r="G183" s="252"/>
      <c r="H183" s="279"/>
      <c r="I183" s="280"/>
      <c r="J183" s="286"/>
      <c r="K183" s="252"/>
      <c r="L183" s="47"/>
      <c r="M183" s="295"/>
      <c r="O183" s="83"/>
    </row>
    <row r="184" spans="1:15">
      <c r="A184" s="296" t="s">
        <v>71</v>
      </c>
      <c r="B184" s="297"/>
      <c r="C184" s="131"/>
      <c r="D184" s="29"/>
      <c r="E184" s="136"/>
      <c r="F184" s="84">
        <v>17500</v>
      </c>
      <c r="G184" s="31"/>
      <c r="H184" s="28" t="s">
        <v>72</v>
      </c>
      <c r="I184" s="32">
        <v>0.05</v>
      </c>
      <c r="J184" s="33">
        <f>IF(F184&lt;17500,F184*5%,17500*5%)</f>
        <v>875</v>
      </c>
      <c r="K184" s="31"/>
      <c r="L184" s="34"/>
      <c r="M184" s="86" t="str">
        <f>M11</f>
        <v>31 มกราคม 2569</v>
      </c>
      <c r="O184" s="82" t="s">
        <v>80</v>
      </c>
    </row>
    <row r="185" spans="1:15">
      <c r="A185" s="273"/>
      <c r="B185" s="274"/>
      <c r="C185" s="88"/>
      <c r="D185" s="105"/>
      <c r="E185" s="41"/>
      <c r="F185" s="41"/>
      <c r="G185" s="42"/>
      <c r="H185" s="39"/>
      <c r="I185" s="100"/>
      <c r="J185" s="44"/>
      <c r="K185" s="45"/>
      <c r="L185" s="46"/>
      <c r="M185" s="132"/>
      <c r="O185" s="92">
        <f>(((O183/30)/8)/60)</f>
        <v>0</v>
      </c>
    </row>
    <row r="186" spans="1:15">
      <c r="A186" s="309"/>
      <c r="B186" s="310"/>
      <c r="C186" s="2"/>
      <c r="D186" s="2"/>
      <c r="E186" s="133"/>
      <c r="F186" s="133"/>
      <c r="G186" s="42"/>
      <c r="H186" s="50"/>
      <c r="I186" s="51"/>
      <c r="J186" s="52"/>
      <c r="K186" s="45"/>
      <c r="L186" s="46"/>
      <c r="M186" s="294" t="s">
        <v>76</v>
      </c>
    </row>
    <row r="187" spans="1:15">
      <c r="A187" s="309"/>
      <c r="B187" s="310"/>
      <c r="C187" s="88"/>
      <c r="D187" s="88"/>
      <c r="E187" s="133"/>
      <c r="F187" s="133"/>
      <c r="G187" s="42"/>
      <c r="H187" s="50"/>
      <c r="I187" s="51"/>
      <c r="J187" s="52"/>
      <c r="K187" s="45"/>
      <c r="L187" s="46"/>
      <c r="M187" s="295"/>
    </row>
    <row r="188" spans="1:15">
      <c r="A188" s="309"/>
      <c r="B188" s="310"/>
      <c r="C188" s="56"/>
      <c r="D188" s="23"/>
      <c r="E188" s="133"/>
      <c r="F188" s="133"/>
      <c r="G188" s="42"/>
      <c r="H188" s="50"/>
      <c r="I188" s="51"/>
      <c r="J188" s="52"/>
      <c r="K188" s="45"/>
      <c r="L188" s="46"/>
      <c r="M188" s="283">
        <f>F191-J191</f>
        <v>16625</v>
      </c>
    </row>
    <row r="189" spans="1:15">
      <c r="A189" s="309"/>
      <c r="B189" s="310"/>
      <c r="C189" s="56"/>
      <c r="D189" s="23"/>
      <c r="E189" s="133"/>
      <c r="F189" s="133"/>
      <c r="G189" s="42"/>
      <c r="H189" s="50"/>
      <c r="I189" s="51"/>
      <c r="J189" s="52"/>
      <c r="K189" s="45"/>
      <c r="L189" s="46"/>
      <c r="M189" s="284"/>
    </row>
    <row r="190" spans="1:15">
      <c r="A190" s="309"/>
      <c r="B190" s="310"/>
      <c r="C190" s="60"/>
      <c r="D190" s="60"/>
      <c r="E190" s="133"/>
      <c r="F190" s="133"/>
      <c r="G190" s="61"/>
      <c r="H190" s="62"/>
      <c r="I190" s="59"/>
      <c r="J190" s="63"/>
      <c r="K190" s="64"/>
      <c r="L190" s="65"/>
      <c r="M190" s="17"/>
    </row>
    <row r="191" spans="1:15">
      <c r="A191" s="66"/>
      <c r="B191" s="67"/>
      <c r="C191" s="68"/>
      <c r="D191" s="278" t="s">
        <v>77</v>
      </c>
      <c r="E191" s="134"/>
      <c r="F191" s="290">
        <f>SUM(F184:F190)</f>
        <v>17500</v>
      </c>
      <c r="G191" s="70"/>
      <c r="H191" s="277" t="s">
        <v>78</v>
      </c>
      <c r="I191" s="278"/>
      <c r="J191" s="290">
        <f>SUM(J184:J190)</f>
        <v>875</v>
      </c>
      <c r="K191" s="70"/>
      <c r="L191" s="65"/>
      <c r="M191" s="71"/>
    </row>
    <row r="192" spans="1:15">
      <c r="A192" s="73"/>
      <c r="B192" s="74"/>
      <c r="C192" s="74"/>
      <c r="D192" s="280"/>
      <c r="E192" s="135"/>
      <c r="F192" s="291"/>
      <c r="G192" s="76"/>
      <c r="H192" s="279"/>
      <c r="I192" s="280"/>
      <c r="J192" s="291"/>
      <c r="K192" s="76"/>
      <c r="L192" s="65"/>
      <c r="M192" s="55" t="s">
        <v>79</v>
      </c>
    </row>
    <row r="193" spans="1:15" ht="17.45" customHeight="1">
      <c r="A193" s="272" t="s">
        <v>60</v>
      </c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</row>
    <row r="194" spans="1:15">
      <c r="A194" s="270" t="s">
        <v>61</v>
      </c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</row>
    <row r="195" spans="1:15">
      <c r="A195" s="270" t="s">
        <v>62</v>
      </c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</row>
    <row r="196" spans="1: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1:15" ht="14.45" customHeight="1">
      <c r="A197" s="271" t="s">
        <v>63</v>
      </c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</row>
    <row r="198" spans="1:15" ht="14.45" customHeight="1">
      <c r="A198" s="1"/>
      <c r="B198" s="1"/>
      <c r="C198" s="1"/>
      <c r="D198" s="15"/>
      <c r="E198" s="15"/>
      <c r="F198" s="15"/>
      <c r="G198" s="15"/>
      <c r="H198" s="15"/>
      <c r="I198" s="15"/>
      <c r="J198" s="15"/>
      <c r="K198" s="15"/>
      <c r="L198" s="15"/>
      <c r="M198" s="1"/>
    </row>
    <row r="199" spans="1:15">
      <c r="A199" s="22" t="s">
        <v>8</v>
      </c>
      <c r="B199" s="274">
        <v>202159</v>
      </c>
      <c r="C199" s="274"/>
      <c r="D199" s="22" t="s">
        <v>64</v>
      </c>
      <c r="E199" s="274" t="s">
        <v>97</v>
      </c>
      <c r="F199" s="274"/>
      <c r="G199" s="17"/>
      <c r="H199" s="22" t="s">
        <v>7</v>
      </c>
      <c r="I199" s="16" t="s">
        <v>94</v>
      </c>
      <c r="J199" s="276" t="s">
        <v>65</v>
      </c>
      <c r="K199" s="276"/>
      <c r="L199" s="276"/>
      <c r="M199" s="137" t="s">
        <v>29</v>
      </c>
      <c r="O199" s="80">
        <v>11</v>
      </c>
    </row>
    <row r="200" spans="1:15">
      <c r="A200" s="20"/>
      <c r="B200" s="20"/>
      <c r="C200" s="21"/>
      <c r="D200" s="22"/>
      <c r="E200" s="22"/>
      <c r="F200" s="23"/>
      <c r="G200" s="23"/>
      <c r="H200" s="22"/>
      <c r="I200" s="21"/>
      <c r="J200" s="24"/>
      <c r="K200" s="24"/>
      <c r="L200" s="24"/>
      <c r="M200" s="23"/>
      <c r="O200" s="81"/>
    </row>
    <row r="201" spans="1:15">
      <c r="A201" s="277" t="s">
        <v>66</v>
      </c>
      <c r="B201" s="278"/>
      <c r="C201" s="247"/>
      <c r="D201" s="278" t="s">
        <v>67</v>
      </c>
      <c r="E201" s="285" t="s">
        <v>68</v>
      </c>
      <c r="F201" s="285"/>
      <c r="G201" s="249"/>
      <c r="H201" s="277" t="s">
        <v>69</v>
      </c>
      <c r="I201" s="278" t="s">
        <v>67</v>
      </c>
      <c r="J201" s="285" t="s">
        <v>68</v>
      </c>
      <c r="K201" s="249"/>
      <c r="L201" s="47"/>
      <c r="M201" s="294" t="s">
        <v>70</v>
      </c>
      <c r="O201" s="82" t="s">
        <v>10</v>
      </c>
    </row>
    <row r="202" spans="1:15">
      <c r="A202" s="279"/>
      <c r="B202" s="280"/>
      <c r="C202" s="250"/>
      <c r="D202" s="280"/>
      <c r="E202" s="286"/>
      <c r="F202" s="286"/>
      <c r="G202" s="252"/>
      <c r="H202" s="279"/>
      <c r="I202" s="280"/>
      <c r="J202" s="286"/>
      <c r="K202" s="252"/>
      <c r="L202" s="47"/>
      <c r="M202" s="295"/>
      <c r="O202" s="83">
        <f>F203</f>
        <v>18000</v>
      </c>
    </row>
    <row r="203" spans="1:15">
      <c r="A203" s="296" t="s">
        <v>71</v>
      </c>
      <c r="B203" s="297"/>
      <c r="C203" s="29"/>
      <c r="D203" s="108"/>
      <c r="E203" s="108"/>
      <c r="F203" s="109">
        <f>'[1]สรุปอินฟินิท เบรน68'!F89</f>
        <v>18000</v>
      </c>
      <c r="G203" s="31"/>
      <c r="H203" s="28" t="s">
        <v>72</v>
      </c>
      <c r="I203" s="102">
        <v>0.05</v>
      </c>
      <c r="J203" s="33">
        <f>IF(F203&lt;17500,F203*5%,17500*5%)</f>
        <v>875</v>
      </c>
      <c r="K203" s="31"/>
      <c r="L203" s="34"/>
      <c r="M203" s="86" t="str">
        <f>M11</f>
        <v>31 มกราคม 2569</v>
      </c>
      <c r="O203" s="82" t="s">
        <v>80</v>
      </c>
    </row>
    <row r="204" spans="1:15">
      <c r="A204" s="273"/>
      <c r="B204" s="274"/>
      <c r="C204" s="88"/>
      <c r="D204" s="111"/>
      <c r="E204" s="101"/>
      <c r="F204" s="101"/>
      <c r="G204" s="42"/>
      <c r="H204" s="138"/>
      <c r="I204" s="115"/>
      <c r="J204" s="113"/>
      <c r="K204" s="45"/>
      <c r="L204" s="46"/>
      <c r="M204" s="47"/>
      <c r="O204" s="92">
        <f>(((O202/30)/8)/60)</f>
        <v>1.25</v>
      </c>
    </row>
    <row r="205" spans="1:15">
      <c r="A205" s="273"/>
      <c r="B205" s="274"/>
      <c r="C205" s="88"/>
      <c r="D205" s="127"/>
      <c r="E205" s="125"/>
      <c r="F205" s="113"/>
      <c r="G205" s="42"/>
      <c r="H205" s="50"/>
      <c r="I205" s="51"/>
      <c r="J205" s="52"/>
      <c r="K205" s="45"/>
      <c r="L205" s="46"/>
      <c r="M205" s="294" t="s">
        <v>76</v>
      </c>
    </row>
    <row r="206" spans="1:15">
      <c r="A206" s="281"/>
      <c r="B206" s="282"/>
      <c r="C206" s="88"/>
      <c r="D206" s="88"/>
      <c r="E206" s="88"/>
      <c r="F206" s="118"/>
      <c r="G206" s="42"/>
      <c r="H206" s="50"/>
      <c r="I206" s="51"/>
      <c r="J206" s="52"/>
      <c r="K206" s="45"/>
      <c r="L206" s="46"/>
      <c r="M206" s="295"/>
    </row>
    <row r="207" spans="1:15">
      <c r="A207" s="281"/>
      <c r="B207" s="282"/>
      <c r="C207" s="56"/>
      <c r="D207" s="23" t="s">
        <v>30</v>
      </c>
      <c r="E207" s="23"/>
      <c r="F207" s="120"/>
      <c r="G207" s="42"/>
      <c r="H207" s="50"/>
      <c r="I207" s="51"/>
      <c r="J207" s="52"/>
      <c r="K207" s="45"/>
      <c r="L207" s="46"/>
      <c r="M207" s="283">
        <f>F210-J210</f>
        <v>17125</v>
      </c>
    </row>
    <row r="208" spans="1:15">
      <c r="A208" s="281"/>
      <c r="B208" s="282"/>
      <c r="C208" s="56"/>
      <c r="D208" s="23"/>
      <c r="E208" s="23"/>
      <c r="F208" s="120"/>
      <c r="G208" s="42"/>
      <c r="H208" s="50"/>
      <c r="I208" s="51"/>
      <c r="J208" s="52"/>
      <c r="K208" s="45"/>
      <c r="L208" s="46"/>
      <c r="M208" s="284"/>
    </row>
    <row r="209" spans="1:17">
      <c r="A209" s="281"/>
      <c r="B209" s="282"/>
      <c r="C209" s="60"/>
      <c r="D209" s="60"/>
      <c r="E209" s="60"/>
      <c r="F209" s="121"/>
      <c r="G209" s="61"/>
      <c r="H209" s="62"/>
      <c r="I209" s="59"/>
      <c r="J209" s="63"/>
      <c r="K209" s="64"/>
      <c r="L209" s="65"/>
      <c r="M209" s="17"/>
    </row>
    <row r="210" spans="1:17">
      <c r="A210" s="66"/>
      <c r="B210" s="67"/>
      <c r="C210" s="68"/>
      <c r="D210" s="278" t="s">
        <v>77</v>
      </c>
      <c r="E210" s="25"/>
      <c r="F210" s="290">
        <f>SUM(F203:F209)</f>
        <v>18000</v>
      </c>
      <c r="G210" s="70"/>
      <c r="H210" s="277" t="s">
        <v>78</v>
      </c>
      <c r="I210" s="278"/>
      <c r="J210" s="290">
        <f>SUM(J203:J209)</f>
        <v>875</v>
      </c>
      <c r="K210" s="70"/>
      <c r="L210" s="65"/>
      <c r="M210" s="122"/>
      <c r="Q210" s="6"/>
    </row>
    <row r="211" spans="1:17">
      <c r="A211" s="73"/>
      <c r="B211" s="74"/>
      <c r="C211" s="74"/>
      <c r="D211" s="280"/>
      <c r="E211" s="27"/>
      <c r="F211" s="291"/>
      <c r="G211" s="76"/>
      <c r="H211" s="279"/>
      <c r="I211" s="280"/>
      <c r="J211" s="291"/>
      <c r="K211" s="76"/>
      <c r="L211" s="65"/>
      <c r="M211" s="55" t="s">
        <v>79</v>
      </c>
      <c r="Q211" s="6"/>
    </row>
    <row r="212" spans="1:17">
      <c r="A212" s="272" t="s">
        <v>60</v>
      </c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79"/>
    </row>
    <row r="213" spans="1:17">
      <c r="A213" s="270" t="s">
        <v>61</v>
      </c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1"/>
    </row>
    <row r="214" spans="1:17">
      <c r="A214" s="270" t="s">
        <v>62</v>
      </c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1"/>
    </row>
    <row r="215" spans="1:17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</row>
    <row r="216" spans="1:17" ht="15.95" customHeight="1">
      <c r="A216" s="271" t="s">
        <v>63</v>
      </c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1"/>
      <c r="Q216" t="s">
        <v>30</v>
      </c>
    </row>
    <row r="217" spans="1:17" ht="15" customHeight="1">
      <c r="A217" s="1"/>
      <c r="B217" s="1"/>
      <c r="C217" s="1"/>
      <c r="D217" s="15"/>
      <c r="E217" s="15"/>
      <c r="F217" s="15"/>
      <c r="G217" s="15"/>
      <c r="H217" s="15"/>
      <c r="I217" s="15"/>
      <c r="J217" s="15"/>
      <c r="K217" s="15"/>
      <c r="L217" s="15"/>
      <c r="M217" s="1"/>
      <c r="N217" s="1"/>
    </row>
    <row r="218" spans="1:17">
      <c r="A218" s="22" t="s">
        <v>8</v>
      </c>
      <c r="B218" s="16">
        <v>202137</v>
      </c>
      <c r="C218" s="16"/>
      <c r="D218" s="22" t="s">
        <v>64</v>
      </c>
      <c r="E218" s="282" t="s">
        <v>98</v>
      </c>
      <c r="F218" s="282"/>
      <c r="G218" s="17"/>
      <c r="H218" s="22" t="s">
        <v>7</v>
      </c>
      <c r="I218" s="16" t="s">
        <v>32</v>
      </c>
      <c r="J218" s="276" t="s">
        <v>65</v>
      </c>
      <c r="K218" s="276"/>
      <c r="L218" s="276"/>
      <c r="M218" s="18" t="s">
        <v>42</v>
      </c>
      <c r="N218" s="18"/>
      <c r="O218" s="80">
        <v>12</v>
      </c>
    </row>
    <row r="219" spans="1:17">
      <c r="A219" s="20"/>
      <c r="B219" s="20"/>
      <c r="C219" s="21"/>
      <c r="D219" s="22"/>
      <c r="E219" s="22"/>
      <c r="F219" s="23"/>
      <c r="G219" s="23"/>
      <c r="H219" s="22"/>
      <c r="I219" s="21"/>
      <c r="J219" s="24"/>
      <c r="K219" s="24"/>
      <c r="L219" s="24"/>
      <c r="M219" s="23"/>
      <c r="N219" s="23"/>
      <c r="O219" s="81"/>
    </row>
    <row r="220" spans="1:17">
      <c r="A220" s="277" t="s">
        <v>66</v>
      </c>
      <c r="B220" s="278"/>
      <c r="C220" s="247"/>
      <c r="D220" s="278" t="s">
        <v>86</v>
      </c>
      <c r="E220" s="278" t="s">
        <v>87</v>
      </c>
      <c r="F220" s="278" t="s">
        <v>68</v>
      </c>
      <c r="G220" s="249"/>
      <c r="H220" s="277" t="s">
        <v>69</v>
      </c>
      <c r="I220" s="278" t="s">
        <v>67</v>
      </c>
      <c r="J220" s="285" t="s">
        <v>68</v>
      </c>
      <c r="K220" s="249"/>
      <c r="L220" s="47"/>
      <c r="M220" s="294" t="s">
        <v>70</v>
      </c>
      <c r="N220" s="26"/>
      <c r="O220" s="82" t="s">
        <v>10</v>
      </c>
    </row>
    <row r="221" spans="1:17">
      <c r="A221" s="279"/>
      <c r="B221" s="280"/>
      <c r="C221" s="250"/>
      <c r="D221" s="280"/>
      <c r="E221" s="280"/>
      <c r="F221" s="280"/>
      <c r="G221" s="252"/>
      <c r="H221" s="279"/>
      <c r="I221" s="280"/>
      <c r="J221" s="286"/>
      <c r="K221" s="252"/>
      <c r="L221" s="47"/>
      <c r="M221" s="295"/>
      <c r="N221" s="26"/>
      <c r="O221" s="83">
        <f>M226</f>
        <v>1940</v>
      </c>
    </row>
    <row r="222" spans="1:17">
      <c r="A222" s="296" t="s">
        <v>71</v>
      </c>
      <c r="B222" s="297"/>
      <c r="C222" s="29"/>
      <c r="D222" s="139">
        <v>1000</v>
      </c>
      <c r="E222" s="100">
        <v>2</v>
      </c>
      <c r="F222" s="101">
        <f>D222*E222</f>
        <v>2000</v>
      </c>
      <c r="G222" s="140"/>
      <c r="H222" s="28" t="s">
        <v>301</v>
      </c>
      <c r="I222" s="102">
        <v>0.03</v>
      </c>
      <c r="J222" s="33">
        <f>F229*3%</f>
        <v>60</v>
      </c>
      <c r="K222" s="31"/>
      <c r="L222" s="34"/>
      <c r="M222" s="86" t="str">
        <f>M203</f>
        <v>31 มกราคม 2569</v>
      </c>
      <c r="N222" s="87"/>
      <c r="O222" s="82" t="s">
        <v>80</v>
      </c>
    </row>
    <row r="223" spans="1:17">
      <c r="A223" s="273"/>
      <c r="B223" s="274"/>
      <c r="C223" s="88"/>
      <c r="D223" s="141"/>
      <c r="E223" s="141"/>
      <c r="F223" s="113"/>
      <c r="G223" s="42"/>
      <c r="H223" s="116"/>
      <c r="I223" s="142"/>
      <c r="J223" s="44"/>
      <c r="K223" s="45"/>
      <c r="L223" s="46"/>
      <c r="M223" s="47"/>
      <c r="N223" s="47"/>
      <c r="O223" s="92">
        <f>(((O221/30)/8)/60)</f>
        <v>0.13472222222222224</v>
      </c>
    </row>
    <row r="224" spans="1:17">
      <c r="A224" s="273"/>
      <c r="B224" s="274"/>
      <c r="C224" s="2"/>
      <c r="D224" s="105"/>
      <c r="E224" s="110"/>
      <c r="F224" s="44"/>
      <c r="G224" s="42"/>
      <c r="H224" s="50"/>
      <c r="I224" s="51"/>
      <c r="J224" s="52"/>
      <c r="K224" s="45"/>
      <c r="L224" s="46"/>
      <c r="M224" s="294" t="s">
        <v>76</v>
      </c>
      <c r="N224" s="26"/>
    </row>
    <row r="225" spans="1:17">
      <c r="A225" s="273"/>
      <c r="B225" s="274"/>
      <c r="C225" s="88"/>
      <c r="D225" s="88"/>
      <c r="E225" s="88"/>
      <c r="F225" s="118"/>
      <c r="G225" s="42"/>
      <c r="H225" s="50"/>
      <c r="I225" s="51"/>
      <c r="J225" s="52"/>
      <c r="K225" s="45"/>
      <c r="L225" s="46"/>
      <c r="M225" s="295"/>
      <c r="N225" s="26"/>
      <c r="O225" s="94"/>
    </row>
    <row r="226" spans="1:17" ht="16.5">
      <c r="A226" s="273"/>
      <c r="B226" s="274"/>
      <c r="C226" s="56"/>
      <c r="D226" s="23"/>
      <c r="E226" s="23"/>
      <c r="F226" s="120"/>
      <c r="G226" s="42"/>
      <c r="H226" s="50"/>
      <c r="I226" s="51"/>
      <c r="J226" s="52"/>
      <c r="K226" s="45"/>
      <c r="L226" s="46"/>
      <c r="M226" s="283">
        <f>F229-J229</f>
        <v>1940</v>
      </c>
      <c r="N226" s="57"/>
    </row>
    <row r="227" spans="1:17" ht="16.5">
      <c r="A227" s="273"/>
      <c r="B227" s="274"/>
      <c r="C227" s="56"/>
      <c r="D227" s="23"/>
      <c r="E227" s="23"/>
      <c r="F227" s="120"/>
      <c r="G227" s="42"/>
      <c r="H227" s="50"/>
      <c r="I227" s="51"/>
      <c r="J227" s="52"/>
      <c r="K227" s="45"/>
      <c r="L227" s="46"/>
      <c r="M227" s="284"/>
      <c r="N227" s="57"/>
      <c r="Q227" t="s">
        <v>30</v>
      </c>
    </row>
    <row r="228" spans="1:17">
      <c r="A228" s="288"/>
      <c r="B228" s="289"/>
      <c r="C228" s="60"/>
      <c r="D228" s="60"/>
      <c r="E228" s="60"/>
      <c r="F228" s="121"/>
      <c r="G228" s="61"/>
      <c r="H228" s="62"/>
      <c r="I228" s="59"/>
      <c r="J228" s="63"/>
      <c r="K228" s="64"/>
      <c r="L228" s="65"/>
      <c r="M228" s="17"/>
      <c r="N228" s="17"/>
    </row>
    <row r="229" spans="1:17">
      <c r="A229" s="66"/>
      <c r="B229" s="67"/>
      <c r="C229" s="68"/>
      <c r="D229" s="278" t="s">
        <v>77</v>
      </c>
      <c r="E229" s="25"/>
      <c r="F229" s="290">
        <f>SUM(F222:F228)</f>
        <v>2000</v>
      </c>
      <c r="G229" s="70"/>
      <c r="H229" s="277" t="s">
        <v>78</v>
      </c>
      <c r="I229" s="278"/>
      <c r="J229" s="290">
        <f>SUM(J222:J228)</f>
        <v>60</v>
      </c>
      <c r="K229" s="70"/>
      <c r="L229" s="65"/>
      <c r="M229" s="122"/>
      <c r="N229" s="72"/>
    </row>
    <row r="230" spans="1:17">
      <c r="A230" s="73"/>
      <c r="B230" s="74"/>
      <c r="C230" s="74"/>
      <c r="D230" s="280"/>
      <c r="E230" s="27"/>
      <c r="F230" s="291"/>
      <c r="G230" s="76"/>
      <c r="H230" s="279"/>
      <c r="I230" s="280"/>
      <c r="J230" s="291"/>
      <c r="K230" s="76"/>
      <c r="L230" s="65"/>
      <c r="M230" s="55" t="s">
        <v>79</v>
      </c>
      <c r="N230" s="72"/>
    </row>
    <row r="231" spans="1:17">
      <c r="A231" s="1" t="s">
        <v>30</v>
      </c>
      <c r="B231" s="272" t="s">
        <v>60</v>
      </c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</row>
    <row r="232" spans="1:17">
      <c r="A232" s="1"/>
      <c r="B232" s="270" t="s">
        <v>61</v>
      </c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Q232" t="s">
        <v>30</v>
      </c>
    </row>
    <row r="233" spans="1:17">
      <c r="A233" s="1"/>
      <c r="B233" s="270" t="s">
        <v>62</v>
      </c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</row>
    <row r="234" spans="1:17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Q234" t="s">
        <v>30</v>
      </c>
    </row>
    <row r="235" spans="1:17" ht="16.5" customHeight="1">
      <c r="A235" s="1"/>
      <c r="B235" s="271" t="s">
        <v>63</v>
      </c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</row>
    <row r="236" spans="1:17" ht="14.45" customHeight="1">
      <c r="A236" s="1"/>
      <c r="B236" s="1"/>
      <c r="C236" s="1"/>
      <c r="D236" s="15"/>
      <c r="E236" s="15"/>
      <c r="F236" s="15"/>
      <c r="G236" s="15"/>
      <c r="H236" s="15"/>
      <c r="I236" s="15"/>
      <c r="J236" s="15"/>
      <c r="K236" s="15"/>
      <c r="L236" s="15"/>
      <c r="M236" s="1"/>
      <c r="N236" s="1"/>
    </row>
    <row r="237" spans="1:17">
      <c r="A237" s="22" t="s">
        <v>8</v>
      </c>
      <c r="B237" s="274"/>
      <c r="C237" s="274"/>
      <c r="D237" s="22" t="s">
        <v>64</v>
      </c>
      <c r="E237" s="274" t="s">
        <v>39</v>
      </c>
      <c r="F237" s="274"/>
      <c r="G237" s="17"/>
      <c r="H237" s="22" t="s">
        <v>7</v>
      </c>
      <c r="I237" s="16" t="s">
        <v>99</v>
      </c>
      <c r="J237" s="276" t="s">
        <v>65</v>
      </c>
      <c r="K237" s="276"/>
      <c r="L237" s="276"/>
      <c r="M237" s="16" t="s">
        <v>109</v>
      </c>
      <c r="N237" s="18"/>
      <c r="O237" s="80">
        <v>13</v>
      </c>
    </row>
    <row r="238" spans="1:17">
      <c r="A238" s="20"/>
      <c r="B238" s="20"/>
      <c r="C238" s="21"/>
      <c r="D238" s="22"/>
      <c r="E238" s="22"/>
      <c r="F238" s="23"/>
      <c r="G238" s="23"/>
      <c r="H238" s="22"/>
      <c r="I238" s="21"/>
      <c r="J238" s="24"/>
      <c r="K238" s="24"/>
      <c r="L238" s="24"/>
      <c r="M238" s="23"/>
      <c r="N238" s="23"/>
      <c r="O238" s="81"/>
    </row>
    <row r="239" spans="1:17">
      <c r="A239" s="277" t="s">
        <v>66</v>
      </c>
      <c r="B239" s="278"/>
      <c r="C239" s="247"/>
      <c r="D239" s="278" t="s">
        <v>81</v>
      </c>
      <c r="E239" s="278" t="s">
        <v>82</v>
      </c>
      <c r="F239" s="278" t="s">
        <v>68</v>
      </c>
      <c r="G239" s="249"/>
      <c r="H239" s="277" t="s">
        <v>69</v>
      </c>
      <c r="I239" s="278" t="s">
        <v>67</v>
      </c>
      <c r="J239" s="285" t="s">
        <v>68</v>
      </c>
      <c r="K239" s="249"/>
      <c r="L239" s="47"/>
      <c r="M239" s="294" t="s">
        <v>70</v>
      </c>
      <c r="N239" s="26"/>
      <c r="O239" s="82" t="s">
        <v>10</v>
      </c>
    </row>
    <row r="240" spans="1:17">
      <c r="A240" s="279"/>
      <c r="B240" s="280"/>
      <c r="C240" s="250"/>
      <c r="D240" s="280"/>
      <c r="E240" s="280"/>
      <c r="F240" s="280"/>
      <c r="G240" s="252"/>
      <c r="H240" s="279"/>
      <c r="I240" s="280"/>
      <c r="J240" s="286"/>
      <c r="K240" s="252"/>
      <c r="L240" s="47"/>
      <c r="M240" s="295"/>
      <c r="N240" s="26"/>
      <c r="O240" s="83">
        <f>M245</f>
        <v>3104</v>
      </c>
    </row>
    <row r="241" spans="1:18">
      <c r="A241" s="296" t="s">
        <v>71</v>
      </c>
      <c r="B241" s="297"/>
      <c r="C241" s="29"/>
      <c r="D241" s="143">
        <v>400</v>
      </c>
      <c r="E241" s="144">
        <v>8</v>
      </c>
      <c r="F241" s="109">
        <f>D241*E241</f>
        <v>3200</v>
      </c>
      <c r="G241" s="31"/>
      <c r="H241" s="28" t="s">
        <v>301</v>
      </c>
      <c r="I241" s="102">
        <v>0.03</v>
      </c>
      <c r="J241" s="33">
        <f>F248*3%</f>
        <v>96</v>
      </c>
      <c r="K241" s="31"/>
      <c r="L241" s="34"/>
      <c r="M241" s="86" t="str">
        <f>M222</f>
        <v>31 มกราคม 2569</v>
      </c>
      <c r="N241" s="87"/>
      <c r="O241" s="82" t="s">
        <v>80</v>
      </c>
    </row>
    <row r="242" spans="1:18">
      <c r="A242" s="273"/>
      <c r="B242" s="274"/>
      <c r="C242" s="110"/>
      <c r="D242" s="145"/>
      <c r="E242" s="145"/>
      <c r="F242" s="44"/>
      <c r="G242" s="42"/>
      <c r="H242" s="138"/>
      <c r="I242" s="146"/>
      <c r="J242" s="147"/>
      <c r="K242" s="45"/>
      <c r="L242" s="46"/>
      <c r="M242" s="47"/>
      <c r="N242" s="47"/>
      <c r="O242" s="92">
        <f>(((O240/30)/8)/60)</f>
        <v>0.21555555555555556</v>
      </c>
    </row>
    <row r="243" spans="1:18">
      <c r="A243" s="281"/>
      <c r="B243" s="282"/>
      <c r="C243" s="8"/>
      <c r="D243" s="111"/>
      <c r="E243" s="111"/>
      <c r="F243" s="113"/>
      <c r="G243" s="42"/>
      <c r="H243" s="50"/>
      <c r="I243" s="51"/>
      <c r="J243" s="52"/>
      <c r="K243" s="45"/>
      <c r="L243" s="46"/>
      <c r="M243" s="294" t="s">
        <v>76</v>
      </c>
      <c r="N243" s="26"/>
    </row>
    <row r="244" spans="1:18">
      <c r="A244" s="281"/>
      <c r="B244" s="282"/>
      <c r="C244" s="88"/>
      <c r="D244" s="88"/>
      <c r="E244" s="88"/>
      <c r="F244" s="118"/>
      <c r="G244" s="42"/>
      <c r="H244" s="50"/>
      <c r="I244" s="51"/>
      <c r="J244" s="52"/>
      <c r="K244" s="45"/>
      <c r="L244" s="46"/>
      <c r="M244" s="295"/>
      <c r="N244" s="26"/>
      <c r="O244" s="94"/>
    </row>
    <row r="245" spans="1:18" ht="15.95" customHeight="1">
      <c r="A245" s="281"/>
      <c r="B245" s="282"/>
      <c r="C245" s="56"/>
      <c r="D245" s="23" t="s">
        <v>30</v>
      </c>
      <c r="E245" s="23"/>
      <c r="F245" s="120"/>
      <c r="G245" s="42"/>
      <c r="H245" s="50"/>
      <c r="I245" s="51"/>
      <c r="J245" s="52"/>
      <c r="K245" s="45"/>
      <c r="L245" s="46"/>
      <c r="M245" s="283">
        <f>F248-J248</f>
        <v>3104</v>
      </c>
      <c r="N245" s="57"/>
    </row>
    <row r="246" spans="1:18" ht="15.95" customHeight="1">
      <c r="A246" s="281"/>
      <c r="B246" s="282"/>
      <c r="C246" s="56"/>
      <c r="D246" s="23"/>
      <c r="E246" s="23"/>
      <c r="F246" s="120"/>
      <c r="G246" s="42"/>
      <c r="H246" s="50"/>
      <c r="I246" s="51"/>
      <c r="J246" s="52"/>
      <c r="K246" s="45"/>
      <c r="L246" s="46"/>
      <c r="M246" s="284"/>
      <c r="N246" s="57"/>
    </row>
    <row r="247" spans="1:18">
      <c r="A247" s="281"/>
      <c r="B247" s="282"/>
      <c r="C247" s="60"/>
      <c r="D247" s="60"/>
      <c r="E247" s="60"/>
      <c r="F247" s="121"/>
      <c r="G247" s="61"/>
      <c r="H247" s="62"/>
      <c r="I247" s="59"/>
      <c r="J247" s="63"/>
      <c r="K247" s="64"/>
      <c r="L247" s="65"/>
      <c r="M247" s="17"/>
      <c r="N247" s="17"/>
    </row>
    <row r="248" spans="1:18">
      <c r="A248" s="66"/>
      <c r="B248" s="67"/>
      <c r="C248" s="68"/>
      <c r="D248" s="278" t="s">
        <v>77</v>
      </c>
      <c r="E248" s="25"/>
      <c r="F248" s="290">
        <f>SUM(F241:F247)</f>
        <v>3200</v>
      </c>
      <c r="G248" s="70"/>
      <c r="H248" s="277" t="s">
        <v>78</v>
      </c>
      <c r="I248" s="278"/>
      <c r="J248" s="290">
        <f>SUM(J241:J247)</f>
        <v>96</v>
      </c>
      <c r="K248" s="70"/>
      <c r="L248" s="65"/>
      <c r="M248" s="122"/>
      <c r="N248" s="72"/>
    </row>
    <row r="249" spans="1:18">
      <c r="A249" s="73"/>
      <c r="B249" s="74"/>
      <c r="C249" s="74"/>
      <c r="D249" s="280"/>
      <c r="E249" s="27"/>
      <c r="F249" s="291"/>
      <c r="G249" s="76"/>
      <c r="H249" s="279"/>
      <c r="I249" s="280"/>
      <c r="J249" s="291"/>
      <c r="K249" s="76"/>
      <c r="L249" s="65"/>
      <c r="M249" s="55" t="s">
        <v>79</v>
      </c>
      <c r="N249" s="72"/>
    </row>
    <row r="250" spans="1:18">
      <c r="A250" s="272" t="s">
        <v>60</v>
      </c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R250" t="s">
        <v>30</v>
      </c>
    </row>
    <row r="251" spans="1:18">
      <c r="A251" s="270" t="s">
        <v>61</v>
      </c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</row>
    <row r="252" spans="1:18">
      <c r="A252" s="270" t="s">
        <v>62</v>
      </c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</row>
    <row r="253" spans="1:18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</row>
    <row r="254" spans="1:18" ht="15.6" customHeight="1">
      <c r="A254" s="271" t="s">
        <v>63</v>
      </c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</row>
    <row r="255" spans="1:18" ht="15.95" customHeight="1">
      <c r="A255" s="1"/>
      <c r="B255" s="1"/>
      <c r="C255" s="1"/>
      <c r="D255" s="15"/>
      <c r="E255" s="15"/>
      <c r="F255" s="15"/>
      <c r="G255" s="15"/>
      <c r="H255" s="15"/>
      <c r="I255" s="15"/>
      <c r="J255" s="15"/>
      <c r="K255" s="15"/>
      <c r="L255" s="15"/>
      <c r="M255" s="1"/>
    </row>
    <row r="256" spans="1:18">
      <c r="A256" s="22" t="s">
        <v>8</v>
      </c>
      <c r="B256" s="274"/>
      <c r="C256" s="274"/>
      <c r="D256" s="22" t="s">
        <v>64</v>
      </c>
      <c r="E256" s="274" t="s">
        <v>100</v>
      </c>
      <c r="F256" s="274"/>
      <c r="G256" s="17"/>
      <c r="H256" s="22" t="s">
        <v>7</v>
      </c>
      <c r="I256" s="16" t="s">
        <v>99</v>
      </c>
      <c r="J256" s="276" t="s">
        <v>65</v>
      </c>
      <c r="K256" s="276"/>
      <c r="L256" s="276"/>
      <c r="M256" s="148" t="s">
        <v>44</v>
      </c>
      <c r="O256" s="80">
        <v>14</v>
      </c>
    </row>
    <row r="257" spans="1:15">
      <c r="A257" s="20"/>
      <c r="B257" s="20"/>
      <c r="C257" s="21"/>
      <c r="D257" s="22"/>
      <c r="E257" s="22"/>
      <c r="F257" s="23"/>
      <c r="G257" s="23"/>
      <c r="H257" s="22"/>
      <c r="I257" s="21"/>
      <c r="J257" s="24"/>
      <c r="K257" s="24"/>
      <c r="L257" s="24"/>
      <c r="M257" s="23"/>
      <c r="O257" s="81"/>
    </row>
    <row r="258" spans="1:15">
      <c r="A258" s="277" t="s">
        <v>66</v>
      </c>
      <c r="B258" s="278"/>
      <c r="C258" s="247"/>
      <c r="D258" s="278" t="s">
        <v>86</v>
      </c>
      <c r="E258" s="278" t="s">
        <v>87</v>
      </c>
      <c r="F258" s="278" t="s">
        <v>68</v>
      </c>
      <c r="G258" s="249"/>
      <c r="H258" s="277" t="s">
        <v>69</v>
      </c>
      <c r="I258" s="278" t="s">
        <v>67</v>
      </c>
      <c r="J258" s="285" t="s">
        <v>68</v>
      </c>
      <c r="K258" s="249"/>
      <c r="L258" s="47"/>
      <c r="M258" s="294" t="s">
        <v>70</v>
      </c>
      <c r="O258" s="82" t="s">
        <v>10</v>
      </c>
    </row>
    <row r="259" spans="1:15">
      <c r="A259" s="279"/>
      <c r="B259" s="280"/>
      <c r="C259" s="250"/>
      <c r="D259" s="280"/>
      <c r="E259" s="280"/>
      <c r="F259" s="280"/>
      <c r="G259" s="252"/>
      <c r="H259" s="279"/>
      <c r="I259" s="280"/>
      <c r="J259" s="286"/>
      <c r="K259" s="252"/>
      <c r="L259" s="47"/>
      <c r="M259" s="295"/>
      <c r="O259" s="83">
        <f>M264</f>
        <v>1552</v>
      </c>
    </row>
    <row r="260" spans="1:15">
      <c r="A260" s="296" t="s">
        <v>71</v>
      </c>
      <c r="B260" s="297"/>
      <c r="C260" s="29"/>
      <c r="D260" s="143">
        <v>1000</v>
      </c>
      <c r="E260" s="144">
        <v>1</v>
      </c>
      <c r="F260" s="109">
        <f>D260*E260</f>
        <v>1000</v>
      </c>
      <c r="G260" s="31"/>
      <c r="H260" s="28" t="s">
        <v>301</v>
      </c>
      <c r="I260" s="102">
        <v>0.03</v>
      </c>
      <c r="J260" s="33">
        <f>F267*3%</f>
        <v>48</v>
      </c>
      <c r="K260" s="31"/>
      <c r="L260" s="34"/>
      <c r="M260" s="86" t="str">
        <f>M11</f>
        <v>31 มกราคม 2569</v>
      </c>
      <c r="O260" s="82" t="s">
        <v>80</v>
      </c>
    </row>
    <row r="261" spans="1:15">
      <c r="A261" s="273"/>
      <c r="B261" s="274"/>
      <c r="C261" s="110"/>
      <c r="D261" s="145"/>
      <c r="E261" s="145"/>
      <c r="F261" s="113">
        <v>600</v>
      </c>
      <c r="G261" s="42"/>
      <c r="H261" s="138"/>
      <c r="I261" s="146"/>
      <c r="J261" s="147"/>
      <c r="K261" s="45"/>
      <c r="L261" s="46"/>
      <c r="M261" s="47"/>
      <c r="O261" s="92">
        <f>(((O259/30)/8)/60)</f>
        <v>0.10777777777777778</v>
      </c>
    </row>
    <row r="262" spans="1:15">
      <c r="A262" s="281"/>
      <c r="B262" s="282"/>
      <c r="C262" s="8"/>
      <c r="D262" s="111"/>
      <c r="E262" s="111"/>
      <c r="F262" s="113"/>
      <c r="G262" s="42"/>
      <c r="H262" s="50"/>
      <c r="I262" s="51"/>
      <c r="J262" s="52"/>
      <c r="K262" s="45"/>
      <c r="L262" s="46"/>
      <c r="M262" s="294" t="s">
        <v>76</v>
      </c>
    </row>
    <row r="263" spans="1:15">
      <c r="A263" s="281"/>
      <c r="B263" s="282"/>
      <c r="C263" s="88"/>
      <c r="D263" s="88"/>
      <c r="E263" s="88"/>
      <c r="F263" s="118"/>
      <c r="G263" s="42"/>
      <c r="H263" s="50"/>
      <c r="I263" s="51"/>
      <c r="J263" s="52"/>
      <c r="K263" s="45"/>
      <c r="L263" s="46"/>
      <c r="M263" s="295"/>
    </row>
    <row r="264" spans="1:15" ht="15.95" customHeight="1">
      <c r="A264" s="281"/>
      <c r="B264" s="282"/>
      <c r="C264" s="56"/>
      <c r="D264" s="23" t="s">
        <v>30</v>
      </c>
      <c r="E264" s="23"/>
      <c r="F264" s="120"/>
      <c r="G264" s="42"/>
      <c r="H264" s="50"/>
      <c r="I264" s="51"/>
      <c r="J264" s="52"/>
      <c r="K264" s="45"/>
      <c r="L264" s="46"/>
      <c r="M264" s="283">
        <f>F267-J267</f>
        <v>1552</v>
      </c>
    </row>
    <row r="265" spans="1:15" ht="15.95" customHeight="1">
      <c r="A265" s="281"/>
      <c r="B265" s="282"/>
      <c r="C265" s="56"/>
      <c r="D265" s="23"/>
      <c r="E265" s="23"/>
      <c r="F265" s="120"/>
      <c r="G265" s="42"/>
      <c r="H265" s="50"/>
      <c r="I265" s="51"/>
      <c r="J265" s="52"/>
      <c r="K265" s="45"/>
      <c r="L265" s="46"/>
      <c r="M265" s="284"/>
    </row>
    <row r="266" spans="1:15">
      <c r="A266" s="281"/>
      <c r="B266" s="282"/>
      <c r="C266" s="60"/>
      <c r="D266" s="60"/>
      <c r="E266" s="60"/>
      <c r="F266" s="121"/>
      <c r="G266" s="61"/>
      <c r="H266" s="62"/>
      <c r="I266" s="59"/>
      <c r="J266" s="63"/>
      <c r="K266" s="64"/>
      <c r="L266" s="65"/>
      <c r="M266" s="17"/>
    </row>
    <row r="267" spans="1:15">
      <c r="A267" s="66"/>
      <c r="B267" s="67"/>
      <c r="C267" s="68"/>
      <c r="D267" s="278" t="s">
        <v>77</v>
      </c>
      <c r="E267" s="25"/>
      <c r="F267" s="290">
        <f>SUM(F260:F266)</f>
        <v>1600</v>
      </c>
      <c r="G267" s="70"/>
      <c r="H267" s="277" t="s">
        <v>78</v>
      </c>
      <c r="I267" s="278"/>
      <c r="J267" s="290">
        <f>SUM(J260:J266)</f>
        <v>48</v>
      </c>
      <c r="K267" s="70"/>
      <c r="L267" s="65"/>
      <c r="M267" s="122"/>
    </row>
    <row r="268" spans="1:15">
      <c r="A268" s="73"/>
      <c r="B268" s="74"/>
      <c r="C268" s="74"/>
      <c r="D268" s="280"/>
      <c r="E268" s="27"/>
      <c r="F268" s="291"/>
      <c r="G268" s="76"/>
      <c r="H268" s="279"/>
      <c r="I268" s="280"/>
      <c r="J268" s="291"/>
      <c r="K268" s="76"/>
      <c r="L268" s="65"/>
      <c r="M268" s="55" t="s">
        <v>79</v>
      </c>
    </row>
    <row r="269" spans="1:15">
      <c r="A269" s="272" t="s">
        <v>60</v>
      </c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</row>
    <row r="270" spans="1:15">
      <c r="A270" s="270" t="s">
        <v>61</v>
      </c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</row>
    <row r="271" spans="1:15">
      <c r="A271" s="270" t="s">
        <v>62</v>
      </c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</row>
    <row r="272" spans="1:15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</row>
    <row r="273" spans="1:15" ht="15.6" customHeight="1">
      <c r="A273" s="271" t="s">
        <v>63</v>
      </c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</row>
    <row r="274" spans="1:15" ht="15.6" customHeight="1">
      <c r="A274" s="1"/>
      <c r="B274" s="1"/>
      <c r="C274" s="1"/>
      <c r="D274" s="15"/>
      <c r="E274" s="15"/>
      <c r="F274" s="15"/>
      <c r="G274" s="15"/>
      <c r="H274" s="15"/>
      <c r="I274" s="15"/>
      <c r="J274" s="15"/>
      <c r="K274" s="15"/>
      <c r="L274" s="15"/>
      <c r="M274" s="1"/>
    </row>
    <row r="275" spans="1:15">
      <c r="A275" s="22" t="s">
        <v>8</v>
      </c>
      <c r="B275" s="274">
        <v>202164</v>
      </c>
      <c r="C275" s="274"/>
      <c r="D275" s="22" t="s">
        <v>64</v>
      </c>
      <c r="E275" s="274" t="s">
        <v>55</v>
      </c>
      <c r="F275" s="274"/>
      <c r="G275" s="17"/>
      <c r="H275" s="22" t="s">
        <v>7</v>
      </c>
      <c r="I275" s="104" t="s">
        <v>53</v>
      </c>
      <c r="J275" s="276" t="s">
        <v>65</v>
      </c>
      <c r="K275" s="276"/>
      <c r="L275" s="276"/>
      <c r="M275" s="149" t="s">
        <v>56</v>
      </c>
      <c r="O275" s="80">
        <v>15</v>
      </c>
    </row>
    <row r="276" spans="1:15">
      <c r="A276" s="20"/>
      <c r="B276" s="20"/>
      <c r="C276" s="21"/>
      <c r="D276" s="22"/>
      <c r="E276" s="22"/>
      <c r="F276" s="23"/>
      <c r="G276" s="23"/>
      <c r="H276" s="22"/>
      <c r="I276" s="21"/>
      <c r="J276" s="24"/>
      <c r="K276" s="24"/>
      <c r="L276" s="24"/>
      <c r="M276" s="23"/>
      <c r="O276" s="81"/>
    </row>
    <row r="277" spans="1:15">
      <c r="A277" s="277" t="s">
        <v>66</v>
      </c>
      <c r="B277" s="278"/>
      <c r="C277" s="247"/>
      <c r="D277" s="278" t="s">
        <v>67</v>
      </c>
      <c r="E277" s="285" t="s">
        <v>68</v>
      </c>
      <c r="F277" s="285"/>
      <c r="G277" s="249"/>
      <c r="H277" s="277" t="s">
        <v>69</v>
      </c>
      <c r="I277" s="278" t="s">
        <v>67</v>
      </c>
      <c r="J277" s="285" t="s">
        <v>68</v>
      </c>
      <c r="K277" s="249"/>
      <c r="L277" s="47"/>
      <c r="M277" s="294" t="s">
        <v>70</v>
      </c>
      <c r="O277" s="82" t="s">
        <v>10</v>
      </c>
    </row>
    <row r="278" spans="1:15">
      <c r="A278" s="279"/>
      <c r="B278" s="280"/>
      <c r="C278" s="250"/>
      <c r="D278" s="280"/>
      <c r="E278" s="286"/>
      <c r="F278" s="286"/>
      <c r="G278" s="252"/>
      <c r="H278" s="279"/>
      <c r="I278" s="280"/>
      <c r="J278" s="286"/>
      <c r="K278" s="252"/>
      <c r="L278" s="47"/>
      <c r="M278" s="295"/>
      <c r="O278" s="83">
        <f>F279</f>
        <v>22000</v>
      </c>
    </row>
    <row r="279" spans="1:15">
      <c r="A279" s="296" t="s">
        <v>71</v>
      </c>
      <c r="B279" s="297"/>
      <c r="C279" s="29"/>
      <c r="D279" s="29"/>
      <c r="E279" s="29"/>
      <c r="F279" s="109">
        <v>22000</v>
      </c>
      <c r="G279" s="31"/>
      <c r="H279" s="28" t="s">
        <v>72</v>
      </c>
      <c r="I279" s="102">
        <v>0.05</v>
      </c>
      <c r="J279" s="33">
        <f>IF(F279&lt;17500,F279*5%,17500*5%)</f>
        <v>875</v>
      </c>
      <c r="K279" s="31"/>
      <c r="L279" s="34"/>
      <c r="M279" s="86" t="str">
        <f>M11</f>
        <v>31 มกราคม 2569</v>
      </c>
      <c r="O279" s="82" t="s">
        <v>80</v>
      </c>
    </row>
    <row r="280" spans="1:15">
      <c r="A280" s="273"/>
      <c r="B280" s="274"/>
      <c r="C280" s="110"/>
      <c r="D280" s="145"/>
      <c r="E280" s="145"/>
      <c r="F280" s="44"/>
      <c r="G280" s="42"/>
      <c r="H280" s="114" t="s">
        <v>92</v>
      </c>
      <c r="I280" s="115">
        <v>8</v>
      </c>
      <c r="J280" s="113">
        <f>I280*O280</f>
        <v>12.222222222222223</v>
      </c>
      <c r="K280" s="45"/>
      <c r="L280" s="46"/>
      <c r="M280" s="47"/>
      <c r="O280" s="92">
        <f>(((O278/30)/8)/60)</f>
        <v>1.5277777777777779</v>
      </c>
    </row>
    <row r="281" spans="1:15">
      <c r="A281" s="281"/>
      <c r="B281" s="282"/>
      <c r="C281" s="8"/>
      <c r="D281" s="111"/>
      <c r="E281" s="111"/>
      <c r="F281" s="113"/>
      <c r="G281" s="42"/>
      <c r="H281" s="273"/>
      <c r="I281" s="274"/>
      <c r="J281" s="44"/>
      <c r="K281" s="45"/>
      <c r="L281" s="46"/>
      <c r="M281" s="294" t="s">
        <v>76</v>
      </c>
    </row>
    <row r="282" spans="1:15">
      <c r="A282" s="281"/>
      <c r="B282" s="282"/>
      <c r="C282" s="88"/>
      <c r="D282" s="88"/>
      <c r="E282" s="88"/>
      <c r="F282" s="118"/>
      <c r="G282" s="42"/>
      <c r="H282" s="50"/>
      <c r="I282" s="51"/>
      <c r="J282" s="52"/>
      <c r="K282" s="45"/>
      <c r="L282" s="46"/>
      <c r="M282" s="295"/>
      <c r="O282" s="94"/>
    </row>
    <row r="283" spans="1:15">
      <c r="A283" s="281"/>
      <c r="B283" s="282"/>
      <c r="C283" s="56"/>
      <c r="D283" s="23" t="s">
        <v>30</v>
      </c>
      <c r="E283" s="23"/>
      <c r="F283" s="120"/>
      <c r="G283" s="42"/>
      <c r="H283" s="50"/>
      <c r="I283" s="51"/>
      <c r="J283" s="52"/>
      <c r="K283" s="45"/>
      <c r="L283" s="46"/>
      <c r="M283" s="283">
        <f>F286-J286</f>
        <v>21112.777777777777</v>
      </c>
    </row>
    <row r="284" spans="1:15">
      <c r="A284" s="281"/>
      <c r="B284" s="282"/>
      <c r="C284" s="56"/>
      <c r="D284" s="23"/>
      <c r="E284" s="23"/>
      <c r="F284" s="120"/>
      <c r="G284" s="42"/>
      <c r="H284" s="50"/>
      <c r="I284" s="51"/>
      <c r="J284" s="52"/>
      <c r="K284" s="45"/>
      <c r="L284" s="46"/>
      <c r="M284" s="284"/>
    </row>
    <row r="285" spans="1:15">
      <c r="A285" s="281"/>
      <c r="B285" s="282"/>
      <c r="C285" s="60"/>
      <c r="D285" s="60"/>
      <c r="E285" s="60"/>
      <c r="F285" s="121"/>
      <c r="G285" s="61"/>
      <c r="H285" s="62"/>
      <c r="I285" s="59"/>
      <c r="J285" s="63"/>
      <c r="K285" s="64"/>
      <c r="L285" s="65"/>
      <c r="M285" s="17"/>
    </row>
    <row r="286" spans="1:15">
      <c r="A286" s="66"/>
      <c r="B286" s="67"/>
      <c r="C286" s="68"/>
      <c r="D286" s="278" t="s">
        <v>77</v>
      </c>
      <c r="E286" s="25"/>
      <c r="F286" s="290">
        <f>SUM(F279:F285)</f>
        <v>22000</v>
      </c>
      <c r="G286" s="70"/>
      <c r="H286" s="277" t="s">
        <v>78</v>
      </c>
      <c r="I286" s="278"/>
      <c r="J286" s="290">
        <f>SUM(J279:J285)</f>
        <v>887.22222222222217</v>
      </c>
      <c r="K286" s="70"/>
      <c r="L286" s="65"/>
      <c r="M286" s="122"/>
    </row>
    <row r="287" spans="1:15">
      <c r="A287" s="73"/>
      <c r="B287" s="74"/>
      <c r="C287" s="74"/>
      <c r="D287" s="280"/>
      <c r="E287" s="27"/>
      <c r="F287" s="291"/>
      <c r="G287" s="76"/>
      <c r="H287" s="279"/>
      <c r="I287" s="280"/>
      <c r="J287" s="291"/>
      <c r="K287" s="76"/>
      <c r="L287" s="65"/>
      <c r="M287" s="55" t="s">
        <v>79</v>
      </c>
    </row>
    <row r="288" spans="1:15">
      <c r="A288" s="272" t="s">
        <v>60</v>
      </c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</row>
    <row r="289" spans="1:17">
      <c r="A289" s="270" t="s">
        <v>61</v>
      </c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</row>
    <row r="290" spans="1:17">
      <c r="A290" s="270" t="s">
        <v>62</v>
      </c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</row>
    <row r="291" spans="1:17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</row>
    <row r="292" spans="1:17" ht="19.5" customHeight="1">
      <c r="A292" s="271" t="s">
        <v>63</v>
      </c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</row>
    <row r="293" spans="1:17" ht="18.95" customHeight="1">
      <c r="A293" s="1"/>
      <c r="B293" s="1"/>
      <c r="C293" s="1"/>
      <c r="D293" s="15"/>
      <c r="E293" s="15"/>
      <c r="F293" s="15"/>
      <c r="G293" s="15"/>
      <c r="H293" s="15"/>
      <c r="I293" s="15"/>
      <c r="J293" s="15"/>
      <c r="K293" s="15"/>
      <c r="L293" s="15"/>
      <c r="M293" s="1"/>
    </row>
    <row r="294" spans="1:17">
      <c r="A294" s="22" t="s">
        <v>8</v>
      </c>
      <c r="B294" s="274">
        <v>202165</v>
      </c>
      <c r="C294" s="274"/>
      <c r="D294" s="22" t="s">
        <v>64</v>
      </c>
      <c r="E294" s="274" t="s">
        <v>57</v>
      </c>
      <c r="F294" s="274"/>
      <c r="G294" s="17"/>
      <c r="H294" s="22" t="s">
        <v>7</v>
      </c>
      <c r="I294" s="104" t="s">
        <v>53</v>
      </c>
      <c r="J294" s="276" t="s">
        <v>65</v>
      </c>
      <c r="K294" s="276"/>
      <c r="L294" s="276"/>
      <c r="M294" s="137" t="s">
        <v>58</v>
      </c>
      <c r="O294" s="80">
        <v>16</v>
      </c>
    </row>
    <row r="295" spans="1:17">
      <c r="A295" s="20"/>
      <c r="B295" s="20"/>
      <c r="C295" s="21"/>
      <c r="D295" s="22"/>
      <c r="E295" s="22"/>
      <c r="F295" s="23"/>
      <c r="G295" s="23"/>
      <c r="H295" s="22"/>
      <c r="I295" s="21"/>
      <c r="J295" s="24"/>
      <c r="K295" s="24"/>
      <c r="L295" s="24"/>
      <c r="M295" s="23"/>
      <c r="O295" s="81"/>
    </row>
    <row r="296" spans="1:17">
      <c r="A296" s="277" t="s">
        <v>66</v>
      </c>
      <c r="B296" s="278"/>
      <c r="C296" s="247"/>
      <c r="D296" s="278" t="s">
        <v>67</v>
      </c>
      <c r="E296" s="285" t="s">
        <v>68</v>
      </c>
      <c r="F296" s="285"/>
      <c r="G296" s="249"/>
      <c r="H296" s="277" t="s">
        <v>69</v>
      </c>
      <c r="I296" s="278" t="s">
        <v>67</v>
      </c>
      <c r="J296" s="285" t="s">
        <v>68</v>
      </c>
      <c r="K296" s="249"/>
      <c r="L296" s="47"/>
      <c r="M296" s="294" t="s">
        <v>70</v>
      </c>
      <c r="O296" s="82" t="s">
        <v>10</v>
      </c>
    </row>
    <row r="297" spans="1:17">
      <c r="A297" s="279"/>
      <c r="B297" s="280"/>
      <c r="C297" s="250"/>
      <c r="D297" s="280"/>
      <c r="E297" s="286"/>
      <c r="F297" s="286"/>
      <c r="G297" s="252"/>
      <c r="H297" s="279"/>
      <c r="I297" s="280"/>
      <c r="J297" s="286"/>
      <c r="K297" s="252"/>
      <c r="L297" s="47"/>
      <c r="M297" s="295"/>
      <c r="O297" s="83">
        <f>F298</f>
        <v>23000</v>
      </c>
    </row>
    <row r="298" spans="1:17">
      <c r="A298" s="296" t="s">
        <v>71</v>
      </c>
      <c r="B298" s="297"/>
      <c r="C298" s="29"/>
      <c r="D298" s="29"/>
      <c r="E298" s="29"/>
      <c r="F298" s="109">
        <v>23000</v>
      </c>
      <c r="G298" s="31"/>
      <c r="H298" s="28" t="s">
        <v>72</v>
      </c>
      <c r="I298" s="102">
        <v>0.05</v>
      </c>
      <c r="J298" s="33">
        <f>IF(F298&lt;17500,F298*5%,17500*5%)</f>
        <v>875</v>
      </c>
      <c r="K298" s="31"/>
      <c r="L298" s="34"/>
      <c r="M298" s="86" t="str">
        <f>M11</f>
        <v>31 มกราคม 2569</v>
      </c>
      <c r="O298" s="82" t="s">
        <v>80</v>
      </c>
      <c r="Q298" t="s">
        <v>30</v>
      </c>
    </row>
    <row r="299" spans="1:17">
      <c r="A299" s="273"/>
      <c r="B299" s="274"/>
      <c r="C299" s="110"/>
      <c r="D299" s="145"/>
      <c r="E299" s="145"/>
      <c r="F299" s="44"/>
      <c r="G299" s="42"/>
      <c r="H299" s="114" t="s">
        <v>92</v>
      </c>
      <c r="I299" s="115">
        <v>0</v>
      </c>
      <c r="J299" s="113">
        <f>O299*I299</f>
        <v>0</v>
      </c>
      <c r="K299" s="45"/>
      <c r="L299" s="46"/>
      <c r="M299" s="47"/>
      <c r="O299" s="92">
        <f>(((O297/30)/8)/60)</f>
        <v>1.5972222222222221</v>
      </c>
    </row>
    <row r="300" spans="1:17">
      <c r="A300" s="281"/>
      <c r="B300" s="282"/>
      <c r="C300" s="8"/>
      <c r="D300" s="111"/>
      <c r="E300" s="111"/>
      <c r="F300" s="113"/>
      <c r="G300" s="42"/>
      <c r="H300" s="50"/>
      <c r="I300" s="51"/>
      <c r="J300" s="52"/>
      <c r="K300" s="45"/>
      <c r="L300" s="46"/>
      <c r="M300" s="294" t="s">
        <v>76</v>
      </c>
    </row>
    <row r="301" spans="1:17">
      <c r="A301" s="281"/>
      <c r="B301" s="282"/>
      <c r="C301" s="88"/>
      <c r="D301" s="88"/>
      <c r="E301" s="88"/>
      <c r="F301" s="118"/>
      <c r="G301" s="42"/>
      <c r="H301" s="50"/>
      <c r="I301" s="51"/>
      <c r="J301" s="52"/>
      <c r="K301" s="45"/>
      <c r="L301" s="46"/>
      <c r="M301" s="295"/>
      <c r="O301" s="94"/>
    </row>
    <row r="302" spans="1:17">
      <c r="A302" s="281"/>
      <c r="B302" s="282"/>
      <c r="C302" s="56"/>
      <c r="D302" s="23" t="s">
        <v>30</v>
      </c>
      <c r="E302" s="23"/>
      <c r="F302" s="120"/>
      <c r="G302" s="42"/>
      <c r="H302" s="50"/>
      <c r="I302" s="51"/>
      <c r="J302" s="52"/>
      <c r="K302" s="45"/>
      <c r="L302" s="46"/>
      <c r="M302" s="283">
        <f>F305-J305</f>
        <v>22125</v>
      </c>
    </row>
    <row r="303" spans="1:17">
      <c r="A303" s="281"/>
      <c r="B303" s="282"/>
      <c r="C303" s="56"/>
      <c r="D303" s="23"/>
      <c r="E303" s="23"/>
      <c r="F303" s="120"/>
      <c r="G303" s="42"/>
      <c r="H303" s="50"/>
      <c r="I303" s="51"/>
      <c r="J303" s="52"/>
      <c r="K303" s="45"/>
      <c r="L303" s="46"/>
      <c r="M303" s="284"/>
    </row>
    <row r="304" spans="1:17">
      <c r="A304" s="281"/>
      <c r="B304" s="282"/>
      <c r="C304" s="60"/>
      <c r="D304" s="60"/>
      <c r="E304" s="60"/>
      <c r="F304" s="121"/>
      <c r="G304" s="61"/>
      <c r="H304" s="62"/>
      <c r="I304" s="59"/>
      <c r="J304" s="63"/>
      <c r="K304" s="64"/>
      <c r="L304" s="65"/>
      <c r="M304" s="17"/>
    </row>
    <row r="305" spans="1:15">
      <c r="A305" s="66"/>
      <c r="B305" s="67"/>
      <c r="C305" s="68"/>
      <c r="D305" s="278" t="s">
        <v>77</v>
      </c>
      <c r="E305" s="25"/>
      <c r="F305" s="290">
        <f>SUM(F298:F304)</f>
        <v>23000</v>
      </c>
      <c r="G305" s="70"/>
      <c r="H305" s="277" t="s">
        <v>78</v>
      </c>
      <c r="I305" s="278"/>
      <c r="J305" s="290">
        <f>SUM(J298:J304)</f>
        <v>875</v>
      </c>
      <c r="K305" s="70"/>
      <c r="L305" s="65"/>
      <c r="M305" s="122"/>
    </row>
    <row r="306" spans="1:15">
      <c r="A306" s="73"/>
      <c r="B306" s="74"/>
      <c r="C306" s="74"/>
      <c r="D306" s="280"/>
      <c r="E306" s="27"/>
      <c r="F306" s="291"/>
      <c r="G306" s="76"/>
      <c r="H306" s="279"/>
      <c r="I306" s="280"/>
      <c r="J306" s="291"/>
      <c r="K306" s="76"/>
      <c r="L306" s="65"/>
      <c r="M306" s="55" t="s">
        <v>79</v>
      </c>
    </row>
    <row r="307" spans="1:15">
      <c r="A307" s="272" t="s">
        <v>60</v>
      </c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</row>
    <row r="308" spans="1:15">
      <c r="A308" s="270" t="s">
        <v>61</v>
      </c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</row>
    <row r="309" spans="1:15">
      <c r="A309" s="270" t="s">
        <v>62</v>
      </c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</row>
    <row r="310" spans="1: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</row>
    <row r="311" spans="1:15" ht="15.6" customHeight="1">
      <c r="A311" s="271" t="s">
        <v>63</v>
      </c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</row>
    <row r="312" spans="1:15" ht="15.6" customHeight="1">
      <c r="A312" s="1"/>
      <c r="B312" s="1"/>
      <c r="C312" s="1"/>
      <c r="D312" s="15"/>
      <c r="E312" s="15"/>
      <c r="F312" s="15"/>
      <c r="G312" s="15"/>
      <c r="H312" s="15"/>
      <c r="I312" s="15"/>
      <c r="J312" s="15"/>
      <c r="K312" s="15"/>
      <c r="L312" s="15"/>
      <c r="M312" s="1"/>
    </row>
    <row r="313" spans="1:15">
      <c r="A313" s="22" t="s">
        <v>8</v>
      </c>
      <c r="B313" s="274"/>
      <c r="C313" s="274"/>
      <c r="D313" s="22" t="s">
        <v>64</v>
      </c>
      <c r="E313" s="287" t="s">
        <v>45</v>
      </c>
      <c r="F313" s="287"/>
      <c r="G313" s="17"/>
      <c r="H313" s="22" t="s">
        <v>7</v>
      </c>
      <c r="I313" s="16" t="s">
        <v>99</v>
      </c>
      <c r="J313" s="276" t="s">
        <v>65</v>
      </c>
      <c r="K313" s="276"/>
      <c r="L313" s="276"/>
      <c r="M313" s="137" t="s">
        <v>108</v>
      </c>
      <c r="O313" s="80">
        <v>17</v>
      </c>
    </row>
    <row r="314" spans="1:15">
      <c r="A314" s="20"/>
      <c r="B314" s="20"/>
      <c r="C314" s="21"/>
      <c r="D314" s="22"/>
      <c r="E314" s="22"/>
      <c r="F314" s="23"/>
      <c r="G314" s="23"/>
      <c r="H314" s="22"/>
      <c r="I314" s="21"/>
      <c r="J314" s="24"/>
      <c r="K314" s="24"/>
      <c r="L314" s="24"/>
      <c r="M314" s="23"/>
      <c r="O314" s="81"/>
    </row>
    <row r="315" spans="1:15">
      <c r="A315" s="277" t="s">
        <v>66</v>
      </c>
      <c r="B315" s="278"/>
      <c r="C315" s="247"/>
      <c r="D315" s="278" t="s">
        <v>81</v>
      </c>
      <c r="E315" s="278" t="s">
        <v>82</v>
      </c>
      <c r="F315" s="278" t="s">
        <v>68</v>
      </c>
      <c r="G315" s="249"/>
      <c r="H315" s="277" t="s">
        <v>69</v>
      </c>
      <c r="I315" s="278" t="s">
        <v>67</v>
      </c>
      <c r="J315" s="285" t="s">
        <v>68</v>
      </c>
      <c r="K315" s="249"/>
      <c r="L315" s="47"/>
      <c r="M315" s="294" t="s">
        <v>70</v>
      </c>
      <c r="O315" s="82" t="s">
        <v>10</v>
      </c>
    </row>
    <row r="316" spans="1:15">
      <c r="A316" s="279"/>
      <c r="B316" s="280"/>
      <c r="C316" s="250"/>
      <c r="D316" s="280"/>
      <c r="E316" s="280"/>
      <c r="F316" s="280"/>
      <c r="G316" s="252"/>
      <c r="H316" s="279"/>
      <c r="I316" s="280"/>
      <c r="J316" s="286"/>
      <c r="K316" s="252"/>
      <c r="L316" s="47"/>
      <c r="M316" s="295"/>
      <c r="O316" s="83">
        <f>F317</f>
        <v>3000</v>
      </c>
    </row>
    <row r="317" spans="1:15">
      <c r="A317" s="296" t="s">
        <v>71</v>
      </c>
      <c r="B317" s="297"/>
      <c r="C317" s="29"/>
      <c r="D317" s="139">
        <v>600</v>
      </c>
      <c r="E317" s="139">
        <v>5</v>
      </c>
      <c r="F317" s="101">
        <f>D317*E317</f>
        <v>3000</v>
      </c>
      <c r="G317" s="31"/>
      <c r="H317" s="28" t="s">
        <v>301</v>
      </c>
      <c r="I317" s="102">
        <v>0.03</v>
      </c>
      <c r="J317" s="33">
        <f>F324*3%</f>
        <v>90</v>
      </c>
      <c r="K317" s="31"/>
      <c r="L317" s="34"/>
      <c r="M317" s="86" t="str">
        <f>M11</f>
        <v>31 มกราคม 2569</v>
      </c>
      <c r="O317" s="82" t="s">
        <v>80</v>
      </c>
    </row>
    <row r="318" spans="1:15">
      <c r="A318" s="273"/>
      <c r="B318" s="274"/>
      <c r="C318" s="110"/>
      <c r="D318" s="150"/>
      <c r="E318" s="150"/>
      <c r="F318" s="151"/>
      <c r="G318" s="42"/>
      <c r="H318" s="138"/>
      <c r="I318" s="146"/>
      <c r="J318" s="147"/>
      <c r="K318" s="45"/>
      <c r="L318" s="46"/>
      <c r="M318" s="47"/>
      <c r="O318" s="92">
        <f>(((O316/30)/8)/60)</f>
        <v>0.20833333333333334</v>
      </c>
    </row>
    <row r="319" spans="1:15">
      <c r="A319" s="281"/>
      <c r="B319" s="282"/>
      <c r="C319" s="8"/>
      <c r="D319" s="111"/>
      <c r="E319" s="111"/>
      <c r="F319" s="113"/>
      <c r="G319" s="42"/>
      <c r="H319" s="50"/>
      <c r="I319" s="51"/>
      <c r="J319" s="52"/>
      <c r="K319" s="45"/>
      <c r="L319" s="46"/>
      <c r="M319" s="294" t="s">
        <v>76</v>
      </c>
    </row>
    <row r="320" spans="1:15">
      <c r="A320" s="281"/>
      <c r="B320" s="282"/>
      <c r="C320" s="88"/>
      <c r="D320" s="88"/>
      <c r="E320" s="88"/>
      <c r="F320" s="118"/>
      <c r="G320" s="42"/>
      <c r="H320" s="50"/>
      <c r="I320" s="51"/>
      <c r="J320" s="52"/>
      <c r="K320" s="45"/>
      <c r="L320" s="46"/>
      <c r="M320" s="295"/>
      <c r="O320" s="94"/>
    </row>
    <row r="321" spans="1:18">
      <c r="A321" s="281"/>
      <c r="B321" s="282"/>
      <c r="C321" s="56"/>
      <c r="D321" s="23" t="s">
        <v>30</v>
      </c>
      <c r="E321" s="23"/>
      <c r="F321" s="120"/>
      <c r="G321" s="42"/>
      <c r="H321" s="50"/>
      <c r="I321" s="51"/>
      <c r="J321" s="52"/>
      <c r="K321" s="45"/>
      <c r="L321" s="46"/>
      <c r="M321" s="283">
        <f>F324-J324</f>
        <v>2910</v>
      </c>
    </row>
    <row r="322" spans="1:18">
      <c r="A322" s="281"/>
      <c r="B322" s="282"/>
      <c r="C322" s="56"/>
      <c r="D322" s="23"/>
      <c r="E322" s="23"/>
      <c r="F322" s="120"/>
      <c r="G322" s="42"/>
      <c r="H322" s="50"/>
      <c r="I322" s="51"/>
      <c r="J322" s="52"/>
      <c r="K322" s="45"/>
      <c r="L322" s="46"/>
      <c r="M322" s="284"/>
    </row>
    <row r="323" spans="1:18">
      <c r="A323" s="281"/>
      <c r="B323" s="282"/>
      <c r="C323" s="60"/>
      <c r="D323" s="60"/>
      <c r="E323" s="60"/>
      <c r="F323" s="121"/>
      <c r="G323" s="61"/>
      <c r="H323" s="62"/>
      <c r="I323" s="59"/>
      <c r="J323" s="63"/>
      <c r="K323" s="64"/>
      <c r="L323" s="65"/>
      <c r="M323" s="17"/>
    </row>
    <row r="324" spans="1:18">
      <c r="A324" s="66"/>
      <c r="B324" s="67"/>
      <c r="C324" s="68"/>
      <c r="D324" s="278" t="s">
        <v>77</v>
      </c>
      <c r="E324" s="25"/>
      <c r="F324" s="290">
        <f>SUM(F317:F323)</f>
        <v>3000</v>
      </c>
      <c r="G324" s="70"/>
      <c r="H324" s="277" t="s">
        <v>78</v>
      </c>
      <c r="I324" s="278"/>
      <c r="J324" s="290">
        <f>SUM(J317:J323)</f>
        <v>90</v>
      </c>
      <c r="K324" s="70"/>
      <c r="L324" s="65"/>
      <c r="M324" s="122"/>
    </row>
    <row r="325" spans="1:18">
      <c r="A325" s="73"/>
      <c r="B325" s="74"/>
      <c r="C325" s="74"/>
      <c r="D325" s="280"/>
      <c r="E325" s="27"/>
      <c r="F325" s="291"/>
      <c r="G325" s="76"/>
      <c r="H325" s="279"/>
      <c r="I325" s="280"/>
      <c r="J325" s="291"/>
      <c r="K325" s="76"/>
      <c r="L325" s="65"/>
      <c r="M325" s="55" t="s">
        <v>79</v>
      </c>
    </row>
    <row r="326" spans="1:18">
      <c r="A326" s="272" t="s">
        <v>60</v>
      </c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</row>
    <row r="327" spans="1:18">
      <c r="A327" s="270" t="s">
        <v>61</v>
      </c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</row>
    <row r="328" spans="1:18">
      <c r="A328" s="270" t="s">
        <v>62</v>
      </c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</row>
    <row r="329" spans="1:18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</row>
    <row r="330" spans="1:18" ht="18" customHeight="1">
      <c r="A330" s="271" t="s">
        <v>63</v>
      </c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</row>
    <row r="331" spans="1:18" ht="18.600000000000001" customHeight="1">
      <c r="A331" s="1"/>
      <c r="B331" s="1"/>
      <c r="C331" s="1"/>
      <c r="D331" s="15"/>
      <c r="E331" s="15"/>
      <c r="F331" s="15"/>
      <c r="G331" s="15"/>
      <c r="H331" s="15"/>
      <c r="I331" s="15"/>
      <c r="J331" s="15"/>
      <c r="K331" s="15"/>
      <c r="L331" s="15"/>
      <c r="M331" s="1"/>
      <c r="Q331" s="11"/>
      <c r="R331" t="s">
        <v>30</v>
      </c>
    </row>
    <row r="332" spans="1:18">
      <c r="A332" s="22" t="s">
        <v>8</v>
      </c>
      <c r="B332" s="274"/>
      <c r="C332" s="274"/>
      <c r="D332" s="22" t="s">
        <v>64</v>
      </c>
      <c r="E332" s="287" t="s">
        <v>101</v>
      </c>
      <c r="F332" s="287"/>
      <c r="G332" s="17"/>
      <c r="H332" s="22" t="s">
        <v>7</v>
      </c>
      <c r="I332" s="16" t="s">
        <v>99</v>
      </c>
      <c r="J332" s="276" t="s">
        <v>65</v>
      </c>
      <c r="K332" s="276"/>
      <c r="L332" s="276"/>
      <c r="M332" s="137" t="s">
        <v>102</v>
      </c>
      <c r="O332" s="80">
        <v>18</v>
      </c>
    </row>
    <row r="333" spans="1:18">
      <c r="A333" s="20"/>
      <c r="B333" s="20"/>
      <c r="C333" s="21"/>
      <c r="D333" s="22"/>
      <c r="E333" s="22"/>
      <c r="F333" s="23"/>
      <c r="G333" s="23"/>
      <c r="H333" s="22"/>
      <c r="I333" s="21"/>
      <c r="J333" s="24"/>
      <c r="K333" s="24"/>
      <c r="L333" s="24"/>
      <c r="M333" s="23"/>
      <c r="O333" s="81"/>
    </row>
    <row r="334" spans="1:18">
      <c r="A334" s="277" t="s">
        <v>66</v>
      </c>
      <c r="B334" s="278"/>
      <c r="C334" s="247"/>
      <c r="D334" s="278" t="s">
        <v>81</v>
      </c>
      <c r="E334" s="278" t="s">
        <v>82</v>
      </c>
      <c r="F334" s="278" t="s">
        <v>68</v>
      </c>
      <c r="G334" s="249"/>
      <c r="H334" s="277" t="s">
        <v>69</v>
      </c>
      <c r="I334" s="278" t="s">
        <v>67</v>
      </c>
      <c r="J334" s="285" t="s">
        <v>68</v>
      </c>
      <c r="K334" s="249"/>
      <c r="L334" s="47"/>
      <c r="M334" s="294" t="s">
        <v>70</v>
      </c>
      <c r="O334" s="82" t="s">
        <v>10</v>
      </c>
    </row>
    <row r="335" spans="1:18">
      <c r="A335" s="279"/>
      <c r="B335" s="280"/>
      <c r="C335" s="250"/>
      <c r="D335" s="280"/>
      <c r="E335" s="280"/>
      <c r="F335" s="280"/>
      <c r="G335" s="252"/>
      <c r="H335" s="279"/>
      <c r="I335" s="280"/>
      <c r="J335" s="286"/>
      <c r="K335" s="252"/>
      <c r="L335" s="47"/>
      <c r="M335" s="295"/>
      <c r="O335" s="83">
        <f>F336</f>
        <v>3600</v>
      </c>
    </row>
    <row r="336" spans="1:18">
      <c r="A336" s="296" t="s">
        <v>71</v>
      </c>
      <c r="B336" s="297"/>
      <c r="C336" s="29"/>
      <c r="D336" s="139">
        <v>400</v>
      </c>
      <c r="E336" s="139">
        <v>9</v>
      </c>
      <c r="F336" s="101">
        <f>D336*E336</f>
        <v>3600</v>
      </c>
      <c r="G336" s="31"/>
      <c r="H336" s="28" t="s">
        <v>301</v>
      </c>
      <c r="I336" s="102">
        <v>0.03</v>
      </c>
      <c r="J336" s="33">
        <f>F343*3%</f>
        <v>108</v>
      </c>
      <c r="K336" s="31"/>
      <c r="L336" s="34"/>
      <c r="M336" s="86" t="str">
        <f>M317</f>
        <v>31 มกราคม 2569</v>
      </c>
      <c r="O336" s="82" t="s">
        <v>80</v>
      </c>
    </row>
    <row r="337" spans="1:19">
      <c r="A337" s="273"/>
      <c r="B337" s="274"/>
      <c r="C337" s="110"/>
      <c r="D337" s="150"/>
      <c r="E337" s="150"/>
      <c r="F337" s="147"/>
      <c r="G337" s="42"/>
      <c r="H337" s="138"/>
      <c r="I337" s="146"/>
      <c r="J337" s="147"/>
      <c r="K337" s="45"/>
      <c r="L337" s="46"/>
      <c r="M337" s="47"/>
      <c r="O337" s="92">
        <f>(((O335/30)/8)/60)</f>
        <v>0.25</v>
      </c>
    </row>
    <row r="338" spans="1:19">
      <c r="A338" s="281"/>
      <c r="B338" s="282"/>
      <c r="C338" s="8"/>
      <c r="D338" s="111"/>
      <c r="E338" s="111"/>
      <c r="F338" s="113"/>
      <c r="G338" s="42"/>
      <c r="H338" s="50"/>
      <c r="I338" s="51"/>
      <c r="J338" s="52"/>
      <c r="K338" s="45"/>
      <c r="L338" s="46"/>
      <c r="M338" s="294" t="s">
        <v>76</v>
      </c>
    </row>
    <row r="339" spans="1:19">
      <c r="A339" s="281"/>
      <c r="B339" s="282"/>
      <c r="C339" s="88"/>
      <c r="D339" s="88"/>
      <c r="E339" s="88"/>
      <c r="F339" s="118"/>
      <c r="G339" s="42"/>
      <c r="H339" s="50"/>
      <c r="I339" s="51"/>
      <c r="J339" s="52"/>
      <c r="K339" s="45"/>
      <c r="L339" s="46"/>
      <c r="M339" s="295"/>
      <c r="O339" s="94"/>
      <c r="S339" t="s">
        <v>30</v>
      </c>
    </row>
    <row r="340" spans="1:19" ht="15.95" customHeight="1">
      <c r="A340" s="281"/>
      <c r="B340" s="282"/>
      <c r="C340" s="56"/>
      <c r="D340" s="23" t="s">
        <v>30</v>
      </c>
      <c r="E340" s="23"/>
      <c r="F340" s="120"/>
      <c r="G340" s="42"/>
      <c r="H340" s="50"/>
      <c r="I340" s="51"/>
      <c r="J340" s="52"/>
      <c r="K340" s="45"/>
      <c r="L340" s="46"/>
      <c r="M340" s="283">
        <f>F343-J343</f>
        <v>3492</v>
      </c>
    </row>
    <row r="341" spans="1:19" ht="15.95" customHeight="1">
      <c r="A341" s="281"/>
      <c r="B341" s="282"/>
      <c r="C341" s="56"/>
      <c r="D341" s="23"/>
      <c r="E341" s="23"/>
      <c r="F341" s="120"/>
      <c r="G341" s="42"/>
      <c r="H341" s="50"/>
      <c r="I341" s="51"/>
      <c r="J341" s="52"/>
      <c r="K341" s="45"/>
      <c r="L341" s="46"/>
      <c r="M341" s="284"/>
    </row>
    <row r="342" spans="1:19">
      <c r="A342" s="281"/>
      <c r="B342" s="282"/>
      <c r="C342" s="60"/>
      <c r="D342" s="60"/>
      <c r="E342" s="60"/>
      <c r="F342" s="121"/>
      <c r="G342" s="61"/>
      <c r="H342" s="62"/>
      <c r="I342" s="59"/>
      <c r="J342" s="63"/>
      <c r="K342" s="64"/>
      <c r="L342" s="65"/>
      <c r="M342" s="17"/>
    </row>
    <row r="343" spans="1:19">
      <c r="A343" s="66"/>
      <c r="B343" s="67"/>
      <c r="C343" s="68"/>
      <c r="D343" s="278" t="s">
        <v>77</v>
      </c>
      <c r="E343" s="25"/>
      <c r="F343" s="290">
        <f>SUM(F336:F342)</f>
        <v>3600</v>
      </c>
      <c r="G343" s="70"/>
      <c r="H343" s="277" t="s">
        <v>78</v>
      </c>
      <c r="I343" s="278"/>
      <c r="J343" s="290">
        <f>SUM(J336:J342)</f>
        <v>108</v>
      </c>
      <c r="K343" s="70"/>
      <c r="L343" s="65"/>
      <c r="M343" s="122"/>
    </row>
    <row r="344" spans="1:19">
      <c r="A344" s="73"/>
      <c r="B344" s="74"/>
      <c r="C344" s="74"/>
      <c r="D344" s="280"/>
      <c r="E344" s="27"/>
      <c r="F344" s="291"/>
      <c r="G344" s="76"/>
      <c r="H344" s="279"/>
      <c r="I344" s="280"/>
      <c r="J344" s="291"/>
      <c r="K344" s="76"/>
      <c r="L344" s="65"/>
      <c r="M344" s="55" t="s">
        <v>79</v>
      </c>
    </row>
    <row r="345" spans="1:19">
      <c r="A345" s="272" t="s">
        <v>60</v>
      </c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79"/>
    </row>
    <row r="346" spans="1:19">
      <c r="A346" s="270" t="s">
        <v>61</v>
      </c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1"/>
    </row>
    <row r="347" spans="1:19">
      <c r="A347" s="270" t="s">
        <v>62</v>
      </c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1"/>
    </row>
    <row r="348" spans="1:19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</row>
    <row r="349" spans="1:19" ht="12.6" customHeight="1">
      <c r="A349" s="271" t="s">
        <v>63</v>
      </c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1"/>
    </row>
    <row r="350" spans="1:19" ht="14.45" customHeight="1">
      <c r="A350" s="1"/>
      <c r="B350" s="1"/>
      <c r="C350" s="1"/>
      <c r="D350" s="15"/>
      <c r="E350" s="15"/>
      <c r="F350" s="15"/>
      <c r="G350" s="15"/>
      <c r="H350" s="15"/>
      <c r="I350" s="15"/>
      <c r="J350" s="15"/>
      <c r="K350" s="15"/>
      <c r="L350" s="15"/>
      <c r="M350" s="1"/>
      <c r="N350" s="1"/>
      <c r="Q350" s="152"/>
    </row>
    <row r="351" spans="1:19">
      <c r="A351" s="22" t="s">
        <v>8</v>
      </c>
      <c r="B351" s="100">
        <v>202149</v>
      </c>
      <c r="D351" s="22" t="s">
        <v>64</v>
      </c>
      <c r="E351" s="130" t="s">
        <v>48</v>
      </c>
      <c r="F351" s="88"/>
      <c r="G351" s="17"/>
      <c r="H351" s="22" t="s">
        <v>7</v>
      </c>
      <c r="I351" s="16" t="s">
        <v>35</v>
      </c>
      <c r="J351" s="276" t="s">
        <v>65</v>
      </c>
      <c r="K351" s="276"/>
      <c r="L351" s="276"/>
      <c r="M351" s="153" t="s">
        <v>49</v>
      </c>
      <c r="N351" s="88"/>
      <c r="O351" s="80">
        <v>19</v>
      </c>
    </row>
    <row r="352" spans="1:19">
      <c r="A352" s="20"/>
      <c r="B352" s="20"/>
      <c r="C352" s="21"/>
      <c r="D352" s="22"/>
      <c r="E352" s="22"/>
      <c r="F352" s="23"/>
      <c r="G352" s="23"/>
      <c r="H352" s="22"/>
      <c r="I352" s="21"/>
      <c r="J352" s="24"/>
      <c r="K352" s="24"/>
      <c r="L352" s="24"/>
      <c r="M352" s="23"/>
      <c r="N352" s="23"/>
      <c r="O352" s="81"/>
    </row>
    <row r="353" spans="1:15">
      <c r="A353" s="277" t="s">
        <v>66</v>
      </c>
      <c r="B353" s="278"/>
      <c r="C353" s="247"/>
      <c r="D353" s="278" t="s">
        <v>86</v>
      </c>
      <c r="E353" s="278" t="s">
        <v>87</v>
      </c>
      <c r="F353" s="278" t="s">
        <v>68</v>
      </c>
      <c r="G353" s="249"/>
      <c r="H353" s="277" t="s">
        <v>69</v>
      </c>
      <c r="I353" s="278" t="s">
        <v>67</v>
      </c>
      <c r="J353" s="285" t="s">
        <v>68</v>
      </c>
      <c r="K353" s="249"/>
      <c r="L353" s="47"/>
      <c r="M353" s="294" t="s">
        <v>70</v>
      </c>
      <c r="N353" s="26"/>
      <c r="O353" s="82" t="s">
        <v>10</v>
      </c>
    </row>
    <row r="354" spans="1:15">
      <c r="A354" s="279"/>
      <c r="B354" s="280"/>
      <c r="C354" s="250"/>
      <c r="D354" s="280"/>
      <c r="E354" s="280"/>
      <c r="F354" s="280"/>
      <c r="G354" s="252"/>
      <c r="H354" s="279"/>
      <c r="I354" s="280"/>
      <c r="J354" s="286"/>
      <c r="K354" s="252"/>
      <c r="L354" s="47"/>
      <c r="M354" s="295"/>
      <c r="N354" s="26"/>
      <c r="O354" s="83">
        <f>F355</f>
        <v>6600</v>
      </c>
    </row>
    <row r="355" spans="1:15">
      <c r="A355" s="296" t="s">
        <v>71</v>
      </c>
      <c r="B355" s="297"/>
      <c r="C355" s="131"/>
      <c r="D355" s="100">
        <v>600</v>
      </c>
      <c r="E355" s="100">
        <v>11</v>
      </c>
      <c r="F355" s="101">
        <f>D355*E355</f>
        <v>6600</v>
      </c>
      <c r="G355" s="31"/>
      <c r="H355" s="28" t="s">
        <v>301</v>
      </c>
      <c r="I355" s="102">
        <v>0.03</v>
      </c>
      <c r="J355" s="33">
        <f>F362*3%</f>
        <v>198</v>
      </c>
      <c r="K355" s="31"/>
      <c r="L355" s="34"/>
      <c r="M355" s="86" t="str">
        <f>M11</f>
        <v>31 มกราคม 2569</v>
      </c>
      <c r="N355" s="87"/>
      <c r="O355" s="82" t="s">
        <v>80</v>
      </c>
    </row>
    <row r="356" spans="1:15">
      <c r="A356" s="273"/>
      <c r="B356" s="274"/>
      <c r="C356" s="88"/>
      <c r="D356" s="111"/>
      <c r="E356" s="101"/>
      <c r="F356" s="103"/>
      <c r="G356" s="42"/>
      <c r="H356" s="39"/>
      <c r="I356" s="100"/>
      <c r="J356" s="44"/>
      <c r="K356" s="45"/>
      <c r="L356" s="46"/>
      <c r="M356" s="47"/>
      <c r="N356" s="47"/>
      <c r="O356" s="92">
        <f>(((O354/30)/8)/60)</f>
        <v>0.45833333333333331</v>
      </c>
    </row>
    <row r="357" spans="1:15">
      <c r="A357" s="309"/>
      <c r="B357" s="310"/>
      <c r="C357" s="2"/>
      <c r="D357" s="2"/>
      <c r="E357" s="133"/>
      <c r="F357" s="133"/>
      <c r="G357" s="42"/>
      <c r="H357" s="154"/>
      <c r="I357" s="51"/>
      <c r="J357" s="52"/>
      <c r="K357" s="45"/>
      <c r="L357" s="46"/>
      <c r="M357" s="294" t="s">
        <v>76</v>
      </c>
      <c r="N357" s="26"/>
    </row>
    <row r="358" spans="1:15">
      <c r="A358" s="309"/>
      <c r="B358" s="310"/>
      <c r="C358" s="88"/>
      <c r="D358" s="88"/>
      <c r="E358" s="133"/>
      <c r="F358" s="133"/>
      <c r="G358" s="42"/>
      <c r="H358" s="50"/>
      <c r="I358" s="51"/>
      <c r="J358" s="52"/>
      <c r="K358" s="45"/>
      <c r="L358" s="46"/>
      <c r="M358" s="295"/>
      <c r="N358" s="26"/>
      <c r="O358" s="94"/>
    </row>
    <row r="359" spans="1:15" ht="16.5">
      <c r="A359" s="309"/>
      <c r="B359" s="310"/>
      <c r="C359" s="56"/>
      <c r="D359" s="23"/>
      <c r="E359" s="133"/>
      <c r="F359" s="133"/>
      <c r="G359" s="42"/>
      <c r="H359" s="50"/>
      <c r="I359" s="51"/>
      <c r="J359" s="52"/>
      <c r="K359" s="45"/>
      <c r="L359" s="46"/>
      <c r="M359" s="283">
        <f>F362-J362</f>
        <v>6402</v>
      </c>
      <c r="N359" s="57"/>
    </row>
    <row r="360" spans="1:15" ht="16.5">
      <c r="A360" s="309"/>
      <c r="B360" s="310"/>
      <c r="C360" s="56"/>
      <c r="D360" s="23"/>
      <c r="E360" s="133"/>
      <c r="F360" s="133"/>
      <c r="G360" s="42"/>
      <c r="H360" s="50"/>
      <c r="I360" s="51"/>
      <c r="J360" s="52"/>
      <c r="K360" s="45"/>
      <c r="L360" s="46"/>
      <c r="M360" s="284"/>
      <c r="N360" s="57"/>
    </row>
    <row r="361" spans="1:15">
      <c r="A361" s="309"/>
      <c r="B361" s="310"/>
      <c r="C361" s="60"/>
      <c r="D361" s="60"/>
      <c r="E361" s="133"/>
      <c r="F361" s="133"/>
      <c r="G361" s="61"/>
      <c r="H361" s="62"/>
      <c r="I361" s="59"/>
      <c r="J361" s="63"/>
      <c r="K361" s="64"/>
      <c r="L361" s="65"/>
      <c r="M361" s="17"/>
      <c r="N361" s="17"/>
    </row>
    <row r="362" spans="1:15">
      <c r="A362" s="66"/>
      <c r="B362" s="67"/>
      <c r="C362" s="68"/>
      <c r="D362" s="278" t="s">
        <v>77</v>
      </c>
      <c r="E362" s="134"/>
      <c r="F362" s="290">
        <f>SUM(F355:F361)</f>
        <v>6600</v>
      </c>
      <c r="G362" s="70"/>
      <c r="H362" s="277" t="s">
        <v>78</v>
      </c>
      <c r="I362" s="278"/>
      <c r="J362" s="290">
        <f>SUM(J355:J361)</f>
        <v>198</v>
      </c>
      <c r="K362" s="70"/>
      <c r="L362" s="65"/>
      <c r="M362" s="71"/>
      <c r="N362" s="72"/>
    </row>
    <row r="363" spans="1:15">
      <c r="A363" s="73"/>
      <c r="B363" s="74"/>
      <c r="C363" s="74"/>
      <c r="D363" s="280"/>
      <c r="E363" s="135"/>
      <c r="F363" s="291"/>
      <c r="G363" s="76"/>
      <c r="H363" s="279"/>
      <c r="I363" s="280"/>
      <c r="J363" s="291"/>
      <c r="K363" s="76"/>
      <c r="L363" s="65"/>
      <c r="M363" s="55" t="s">
        <v>79</v>
      </c>
      <c r="N363" s="72"/>
    </row>
    <row r="364" spans="1:15">
      <c r="A364" s="272" t="s">
        <v>60</v>
      </c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</row>
    <row r="365" spans="1:15">
      <c r="A365" s="270" t="s">
        <v>61</v>
      </c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</row>
    <row r="366" spans="1:15">
      <c r="A366" s="270" t="s">
        <v>62</v>
      </c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</row>
    <row r="367" spans="1: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</row>
    <row r="368" spans="1:15" ht="14.45" customHeight="1">
      <c r="A368" s="271" t="s">
        <v>63</v>
      </c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O368" s="155"/>
    </row>
    <row r="369" spans="1:15" ht="15.6" customHeight="1">
      <c r="A369" s="1"/>
      <c r="B369" s="1"/>
      <c r="C369" s="1"/>
      <c r="D369" s="15"/>
      <c r="E369" s="15"/>
      <c r="F369" s="15"/>
      <c r="G369" s="15"/>
      <c r="H369" s="15"/>
      <c r="I369" s="15"/>
      <c r="J369" s="15"/>
      <c r="K369" s="15"/>
      <c r="L369" s="15"/>
      <c r="M369" s="1"/>
    </row>
    <row r="370" spans="1:15">
      <c r="A370" s="22" t="s">
        <v>8</v>
      </c>
      <c r="B370" s="274"/>
      <c r="C370" s="274"/>
      <c r="D370" s="22" t="s">
        <v>64</v>
      </c>
      <c r="E370" s="287" t="s">
        <v>50</v>
      </c>
      <c r="F370" s="287"/>
      <c r="G370" s="17"/>
      <c r="H370" s="22" t="s">
        <v>7</v>
      </c>
      <c r="I370" s="16" t="s">
        <v>99</v>
      </c>
      <c r="J370" s="276" t="s">
        <v>65</v>
      </c>
      <c r="K370" s="276"/>
      <c r="L370" s="276"/>
      <c r="M370" s="137" t="s">
        <v>51</v>
      </c>
      <c r="O370" s="80">
        <v>20</v>
      </c>
    </row>
    <row r="371" spans="1:15">
      <c r="A371" s="20"/>
      <c r="B371" s="20"/>
      <c r="C371" s="21"/>
      <c r="D371" s="22"/>
      <c r="E371" s="22"/>
      <c r="F371" s="23"/>
      <c r="G371" s="23"/>
      <c r="H371" s="22"/>
      <c r="I371" s="21"/>
      <c r="J371" s="24"/>
      <c r="K371" s="24"/>
      <c r="L371" s="24"/>
      <c r="M371" s="23"/>
      <c r="O371" s="81"/>
    </row>
    <row r="372" spans="1:15">
      <c r="A372" s="277" t="s">
        <v>66</v>
      </c>
      <c r="B372" s="278"/>
      <c r="C372" s="247"/>
      <c r="D372" s="278" t="s">
        <v>81</v>
      </c>
      <c r="E372" s="278" t="s">
        <v>82</v>
      </c>
      <c r="F372" s="278" t="s">
        <v>68</v>
      </c>
      <c r="G372" s="249"/>
      <c r="H372" s="277" t="s">
        <v>69</v>
      </c>
      <c r="I372" s="278" t="s">
        <v>67</v>
      </c>
      <c r="J372" s="285" t="s">
        <v>68</v>
      </c>
      <c r="K372" s="249"/>
      <c r="L372" s="47"/>
      <c r="M372" s="294" t="s">
        <v>70</v>
      </c>
      <c r="O372" s="82" t="s">
        <v>10</v>
      </c>
    </row>
    <row r="373" spans="1:15">
      <c r="A373" s="279"/>
      <c r="B373" s="280"/>
      <c r="C373" s="250"/>
      <c r="D373" s="280"/>
      <c r="E373" s="280"/>
      <c r="F373" s="280"/>
      <c r="G373" s="252"/>
      <c r="H373" s="279"/>
      <c r="I373" s="280"/>
      <c r="J373" s="286"/>
      <c r="K373" s="252"/>
      <c r="L373" s="47"/>
      <c r="M373" s="295"/>
      <c r="O373" s="83">
        <f>F374</f>
        <v>1600</v>
      </c>
    </row>
    <row r="374" spans="1:15">
      <c r="A374" s="296" t="s">
        <v>71</v>
      </c>
      <c r="B374" s="297"/>
      <c r="C374" s="29"/>
      <c r="D374" s="139">
        <v>400</v>
      </c>
      <c r="E374" s="139">
        <v>4</v>
      </c>
      <c r="F374" s="101">
        <f>D374*E374</f>
        <v>1600</v>
      </c>
      <c r="G374" s="31"/>
      <c r="H374" s="28" t="s">
        <v>301</v>
      </c>
      <c r="I374" s="102">
        <v>0.03</v>
      </c>
      <c r="J374" s="33">
        <f>F381*3%</f>
        <v>57</v>
      </c>
      <c r="K374" s="31"/>
      <c r="L374" s="34"/>
      <c r="M374" s="86" t="str">
        <f>M355</f>
        <v>31 มกราคม 2569</v>
      </c>
      <c r="O374" s="82" t="s">
        <v>80</v>
      </c>
    </row>
    <row r="375" spans="1:15">
      <c r="A375" s="273" t="s">
        <v>103</v>
      </c>
      <c r="B375" s="274"/>
      <c r="C375" s="110"/>
      <c r="D375" s="150"/>
      <c r="E375" s="150"/>
      <c r="F375" s="113">
        <v>300</v>
      </c>
      <c r="G375" s="42"/>
      <c r="H375" s="138"/>
      <c r="I375" s="146"/>
      <c r="J375" s="147"/>
      <c r="K375" s="45"/>
      <c r="L375" s="46"/>
      <c r="M375" s="47"/>
      <c r="O375" s="92">
        <f>(((O373/30)/8)/60)</f>
        <v>0.11111111111111112</v>
      </c>
    </row>
    <row r="376" spans="1:15">
      <c r="A376" s="281"/>
      <c r="B376" s="282"/>
      <c r="C376" s="8"/>
      <c r="D376" s="111"/>
      <c r="E376" s="111"/>
      <c r="F376" s="113"/>
      <c r="G376" s="42"/>
      <c r="H376" s="50"/>
      <c r="I376" s="51"/>
      <c r="J376" s="52"/>
      <c r="K376" s="45"/>
      <c r="L376" s="46"/>
      <c r="M376" s="294" t="s">
        <v>76</v>
      </c>
    </row>
    <row r="377" spans="1:15">
      <c r="A377" s="281"/>
      <c r="B377" s="282"/>
      <c r="C377" s="88"/>
      <c r="D377" s="88"/>
      <c r="E377" s="88"/>
      <c r="F377" s="118"/>
      <c r="G377" s="42"/>
      <c r="H377" s="50"/>
      <c r="I377" s="51"/>
      <c r="J377" s="52"/>
      <c r="K377" s="45"/>
      <c r="L377" s="46"/>
      <c r="M377" s="295"/>
      <c r="O377" s="94"/>
    </row>
    <row r="378" spans="1:15">
      <c r="A378" s="281"/>
      <c r="B378" s="282"/>
      <c r="C378" s="56"/>
      <c r="D378" s="23" t="s">
        <v>30</v>
      </c>
      <c r="E378" s="23"/>
      <c r="F378" s="120"/>
      <c r="G378" s="42"/>
      <c r="H378" s="50"/>
      <c r="I378" s="51"/>
      <c r="J378" s="52"/>
      <c r="K378" s="45"/>
      <c r="L378" s="46"/>
      <c r="M378" s="283">
        <f>F381-J381</f>
        <v>1843</v>
      </c>
    </row>
    <row r="379" spans="1:15">
      <c r="A379" s="281"/>
      <c r="B379" s="282"/>
      <c r="C379" s="56"/>
      <c r="D379" s="23"/>
      <c r="E379" s="23"/>
      <c r="F379" s="120"/>
      <c r="G379" s="42"/>
      <c r="H379" s="50"/>
      <c r="I379" s="51"/>
      <c r="J379" s="52"/>
      <c r="K379" s="45"/>
      <c r="L379" s="46"/>
      <c r="M379" s="284"/>
    </row>
    <row r="380" spans="1:15">
      <c r="A380" s="281"/>
      <c r="B380" s="282"/>
      <c r="C380" s="60"/>
      <c r="D380" s="60"/>
      <c r="E380" s="60"/>
      <c r="F380" s="121"/>
      <c r="G380" s="61"/>
      <c r="H380" s="62"/>
      <c r="I380" s="59"/>
      <c r="J380" s="63"/>
      <c r="K380" s="64"/>
      <c r="L380" s="65"/>
      <c r="M380" s="17"/>
    </row>
    <row r="381" spans="1:15">
      <c r="A381" s="66"/>
      <c r="B381" s="67"/>
      <c r="C381" s="68"/>
      <c r="D381" s="278" t="s">
        <v>77</v>
      </c>
      <c r="E381" s="25"/>
      <c r="F381" s="290">
        <f>SUM(F374:F380)</f>
        <v>1900</v>
      </c>
      <c r="G381" s="70"/>
      <c r="H381" s="277" t="s">
        <v>78</v>
      </c>
      <c r="I381" s="278"/>
      <c r="J381" s="290">
        <f>SUM(J374:J380)</f>
        <v>57</v>
      </c>
      <c r="K381" s="70"/>
      <c r="L381" s="65"/>
      <c r="M381" s="122"/>
    </row>
    <row r="382" spans="1:15">
      <c r="A382" s="73"/>
      <c r="B382" s="74"/>
      <c r="C382" s="74"/>
      <c r="D382" s="280"/>
      <c r="E382" s="27"/>
      <c r="F382" s="291"/>
      <c r="G382" s="76"/>
      <c r="H382" s="279"/>
      <c r="I382" s="280"/>
      <c r="J382" s="291"/>
      <c r="K382" s="76"/>
      <c r="L382" s="65"/>
      <c r="M382" s="55" t="s">
        <v>79</v>
      </c>
    </row>
    <row r="383" spans="1:15">
      <c r="A383" s="272" t="s">
        <v>60</v>
      </c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</row>
    <row r="384" spans="1:15">
      <c r="A384" s="270" t="s">
        <v>61</v>
      </c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</row>
    <row r="385" spans="1:15">
      <c r="A385" s="270" t="s">
        <v>62</v>
      </c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</row>
    <row r="386" spans="1: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</row>
    <row r="387" spans="1:15" ht="16.5" customHeight="1">
      <c r="A387" s="271" t="s">
        <v>63</v>
      </c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O387" s="155"/>
    </row>
    <row r="388" spans="1:15" ht="16.5" customHeight="1">
      <c r="A388" s="1"/>
      <c r="B388" s="1"/>
      <c r="C388" s="1"/>
      <c r="D388" s="15"/>
      <c r="E388" s="15"/>
      <c r="F388" s="15"/>
      <c r="G388" s="15"/>
      <c r="H388" s="15"/>
      <c r="I388" s="15"/>
      <c r="J388" s="15"/>
      <c r="K388" s="15"/>
      <c r="L388" s="15"/>
      <c r="M388" s="1"/>
    </row>
    <row r="389" spans="1:15">
      <c r="A389" s="22" t="s">
        <v>8</v>
      </c>
      <c r="B389" s="274"/>
      <c r="C389" s="274"/>
      <c r="D389" s="22" t="s">
        <v>64</v>
      </c>
      <c r="E389" s="287" t="s">
        <v>105</v>
      </c>
      <c r="F389" s="287"/>
      <c r="G389" s="17"/>
      <c r="H389" s="22" t="s">
        <v>7</v>
      </c>
      <c r="I389" s="16" t="s">
        <v>99</v>
      </c>
      <c r="J389" s="276" t="s">
        <v>65</v>
      </c>
      <c r="K389" s="276"/>
      <c r="L389" s="276"/>
      <c r="M389" s="137" t="s">
        <v>107</v>
      </c>
      <c r="O389" s="80">
        <v>20</v>
      </c>
    </row>
    <row r="390" spans="1:15">
      <c r="A390" s="20"/>
      <c r="B390" s="20"/>
      <c r="C390" s="21"/>
      <c r="D390" s="22"/>
      <c r="E390" s="22"/>
      <c r="F390" s="23"/>
      <c r="G390" s="23"/>
      <c r="H390" s="22"/>
      <c r="I390" s="21"/>
      <c r="J390" s="24"/>
      <c r="K390" s="24"/>
      <c r="L390" s="24"/>
      <c r="M390" s="23"/>
      <c r="O390" s="81"/>
    </row>
    <row r="391" spans="1:15">
      <c r="A391" s="277" t="s">
        <v>66</v>
      </c>
      <c r="B391" s="278"/>
      <c r="C391" s="247"/>
      <c r="D391" s="278" t="s">
        <v>81</v>
      </c>
      <c r="E391" s="278" t="s">
        <v>82</v>
      </c>
      <c r="F391" s="278" t="s">
        <v>68</v>
      </c>
      <c r="G391" s="249"/>
      <c r="H391" s="277" t="s">
        <v>69</v>
      </c>
      <c r="I391" s="278" t="s">
        <v>67</v>
      </c>
      <c r="J391" s="285" t="s">
        <v>68</v>
      </c>
      <c r="K391" s="249"/>
      <c r="L391" s="47"/>
      <c r="M391" s="294" t="s">
        <v>70</v>
      </c>
      <c r="O391" s="82" t="s">
        <v>10</v>
      </c>
    </row>
    <row r="392" spans="1:15">
      <c r="A392" s="279"/>
      <c r="B392" s="280"/>
      <c r="C392" s="250"/>
      <c r="D392" s="280"/>
      <c r="E392" s="280"/>
      <c r="F392" s="280"/>
      <c r="G392" s="252"/>
      <c r="H392" s="279"/>
      <c r="I392" s="280"/>
      <c r="J392" s="286"/>
      <c r="K392" s="252"/>
      <c r="L392" s="47"/>
      <c r="M392" s="295"/>
      <c r="O392" s="83">
        <f>F393</f>
        <v>2400</v>
      </c>
    </row>
    <row r="393" spans="1:15">
      <c r="A393" s="296" t="s">
        <v>71</v>
      </c>
      <c r="B393" s="297"/>
      <c r="C393" s="29"/>
      <c r="D393" s="139">
        <v>600</v>
      </c>
      <c r="E393" s="139">
        <v>4</v>
      </c>
      <c r="F393" s="101">
        <f>D393*E393</f>
        <v>2400</v>
      </c>
      <c r="G393" s="31"/>
      <c r="H393" s="28" t="s">
        <v>301</v>
      </c>
      <c r="I393" s="102">
        <v>0.03</v>
      </c>
      <c r="J393" s="33">
        <f>F400*3%</f>
        <v>72</v>
      </c>
      <c r="K393" s="31"/>
      <c r="L393" s="34"/>
      <c r="M393" s="86" t="str">
        <f>M374</f>
        <v>31 มกราคม 2569</v>
      </c>
      <c r="O393" s="82" t="s">
        <v>80</v>
      </c>
    </row>
    <row r="394" spans="1:15">
      <c r="A394" s="273"/>
      <c r="B394" s="274"/>
      <c r="C394" s="110"/>
      <c r="D394" s="150"/>
      <c r="E394" s="150"/>
      <c r="F394" s="113"/>
      <c r="G394" s="42"/>
      <c r="H394" s="138"/>
      <c r="I394" s="146"/>
      <c r="J394" s="147"/>
      <c r="K394" s="45"/>
      <c r="L394" s="46"/>
      <c r="M394" s="47"/>
      <c r="O394" s="92">
        <f>(((O392/30)/8)/60)</f>
        <v>0.16666666666666666</v>
      </c>
    </row>
    <row r="395" spans="1:15">
      <c r="A395" s="281"/>
      <c r="B395" s="282"/>
      <c r="C395" s="8"/>
      <c r="D395" s="111"/>
      <c r="E395" s="111"/>
      <c r="F395" s="113"/>
      <c r="G395" s="42"/>
      <c r="H395" s="50"/>
      <c r="I395" s="51"/>
      <c r="J395" s="52"/>
      <c r="K395" s="45"/>
      <c r="L395" s="46"/>
      <c r="M395" s="294" t="s">
        <v>76</v>
      </c>
    </row>
    <row r="396" spans="1:15">
      <c r="A396" s="281"/>
      <c r="B396" s="282"/>
      <c r="C396" s="88"/>
      <c r="D396" s="88"/>
      <c r="E396" s="88"/>
      <c r="F396" s="118"/>
      <c r="G396" s="42"/>
      <c r="H396" s="50"/>
      <c r="I396" s="51"/>
      <c r="J396" s="52"/>
      <c r="K396" s="45"/>
      <c r="L396" s="46"/>
      <c r="M396" s="295"/>
      <c r="O396" s="94"/>
    </row>
    <row r="397" spans="1:15">
      <c r="A397" s="281"/>
      <c r="B397" s="282"/>
      <c r="C397" s="56"/>
      <c r="D397" s="23" t="s">
        <v>30</v>
      </c>
      <c r="E397" s="23"/>
      <c r="F397" s="120"/>
      <c r="G397" s="42"/>
      <c r="H397" s="50"/>
      <c r="I397" s="51"/>
      <c r="J397" s="52"/>
      <c r="K397" s="45"/>
      <c r="L397" s="46"/>
      <c r="M397" s="283">
        <f>F400-J400</f>
        <v>2328</v>
      </c>
    </row>
    <row r="398" spans="1:15">
      <c r="A398" s="281"/>
      <c r="B398" s="282"/>
      <c r="C398" s="56"/>
      <c r="D398" s="23"/>
      <c r="E398" s="23"/>
      <c r="F398" s="120"/>
      <c r="G398" s="42"/>
      <c r="H398" s="50"/>
      <c r="I398" s="51"/>
      <c r="J398" s="52"/>
      <c r="K398" s="45"/>
      <c r="L398" s="46"/>
      <c r="M398" s="284"/>
    </row>
    <row r="399" spans="1:15">
      <c r="A399" s="281"/>
      <c r="B399" s="282"/>
      <c r="C399" s="60"/>
      <c r="D399" s="60"/>
      <c r="E399" s="60"/>
      <c r="F399" s="121"/>
      <c r="G399" s="61"/>
      <c r="H399" s="62"/>
      <c r="I399" s="59"/>
      <c r="J399" s="63"/>
      <c r="K399" s="64"/>
      <c r="L399" s="65"/>
      <c r="M399" s="17"/>
    </row>
    <row r="400" spans="1:15">
      <c r="A400" s="66"/>
      <c r="B400" s="67"/>
      <c r="C400" s="68"/>
      <c r="D400" s="278" t="s">
        <v>77</v>
      </c>
      <c r="E400" s="25"/>
      <c r="F400" s="290">
        <f>SUM(F393:F399)</f>
        <v>2400</v>
      </c>
      <c r="G400" s="70"/>
      <c r="H400" s="277" t="s">
        <v>78</v>
      </c>
      <c r="I400" s="278"/>
      <c r="J400" s="290">
        <f>SUM(J393:J399)</f>
        <v>72</v>
      </c>
      <c r="K400" s="70"/>
      <c r="L400" s="65"/>
      <c r="M400" s="122"/>
    </row>
    <row r="401" spans="1:13">
      <c r="A401" s="73"/>
      <c r="B401" s="74"/>
      <c r="C401" s="74"/>
      <c r="D401" s="280"/>
      <c r="E401" s="27"/>
      <c r="F401" s="291"/>
      <c r="G401" s="76"/>
      <c r="H401" s="279"/>
      <c r="I401" s="280"/>
      <c r="J401" s="291"/>
      <c r="K401" s="76"/>
      <c r="L401" s="65"/>
      <c r="M401" s="55" t="s">
        <v>79</v>
      </c>
    </row>
  </sheetData>
  <mergeCells count="560">
    <mergeCell ref="A399:B399"/>
    <mergeCell ref="D400:D401"/>
    <mergeCell ref="F400:F401"/>
    <mergeCell ref="H400:I401"/>
    <mergeCell ref="J400:J401"/>
    <mergeCell ref="M391:M392"/>
    <mergeCell ref="A393:B393"/>
    <mergeCell ref="A394:B394"/>
    <mergeCell ref="A395:B395"/>
    <mergeCell ref="M395:M396"/>
    <mergeCell ref="A396:B396"/>
    <mergeCell ref="A397:B397"/>
    <mergeCell ref="M397:M398"/>
    <mergeCell ref="A398:B398"/>
    <mergeCell ref="B389:C389"/>
    <mergeCell ref="E389:F389"/>
    <mergeCell ref="J389:L389"/>
    <mergeCell ref="A391:B392"/>
    <mergeCell ref="D391:D392"/>
    <mergeCell ref="E391:E392"/>
    <mergeCell ref="F391:F392"/>
    <mergeCell ref="H391:H392"/>
    <mergeCell ref="I391:I392"/>
    <mergeCell ref="J391:J392"/>
    <mergeCell ref="A378:B378"/>
    <mergeCell ref="M378:M379"/>
    <mergeCell ref="A379:B379"/>
    <mergeCell ref="A380:B380"/>
    <mergeCell ref="D381:D382"/>
    <mergeCell ref="F381:F382"/>
    <mergeCell ref="H381:I382"/>
    <mergeCell ref="J381:J382"/>
    <mergeCell ref="J372:J373"/>
    <mergeCell ref="M372:M373"/>
    <mergeCell ref="A374:B374"/>
    <mergeCell ref="A375:B375"/>
    <mergeCell ref="A376:B376"/>
    <mergeCell ref="M376:M377"/>
    <mergeCell ref="A377:B377"/>
    <mergeCell ref="B370:C370"/>
    <mergeCell ref="E370:F370"/>
    <mergeCell ref="J370:L370"/>
    <mergeCell ref="A372:B373"/>
    <mergeCell ref="D372:D373"/>
    <mergeCell ref="E372:E373"/>
    <mergeCell ref="F372:F373"/>
    <mergeCell ref="H372:H373"/>
    <mergeCell ref="I372:I373"/>
    <mergeCell ref="M359:M360"/>
    <mergeCell ref="A360:B360"/>
    <mergeCell ref="A361:B361"/>
    <mergeCell ref="D362:D363"/>
    <mergeCell ref="F362:F363"/>
    <mergeCell ref="H362:I363"/>
    <mergeCell ref="J362:J363"/>
    <mergeCell ref="M353:M354"/>
    <mergeCell ref="A355:B355"/>
    <mergeCell ref="A356:B356"/>
    <mergeCell ref="A357:B357"/>
    <mergeCell ref="M357:M358"/>
    <mergeCell ref="A358:B358"/>
    <mergeCell ref="J351:L351"/>
    <mergeCell ref="A353:B354"/>
    <mergeCell ref="D353:D354"/>
    <mergeCell ref="E353:E354"/>
    <mergeCell ref="F353:F354"/>
    <mergeCell ref="H353:H354"/>
    <mergeCell ref="I353:I354"/>
    <mergeCell ref="J353:J354"/>
    <mergeCell ref="A359:B359"/>
    <mergeCell ref="A340:B340"/>
    <mergeCell ref="M340:M341"/>
    <mergeCell ref="A341:B341"/>
    <mergeCell ref="A342:B342"/>
    <mergeCell ref="D343:D344"/>
    <mergeCell ref="F343:F344"/>
    <mergeCell ref="H343:I344"/>
    <mergeCell ref="J343:J344"/>
    <mergeCell ref="J334:J335"/>
    <mergeCell ref="M334:M335"/>
    <mergeCell ref="A336:B336"/>
    <mergeCell ref="A337:B337"/>
    <mergeCell ref="A338:B338"/>
    <mergeCell ref="M338:M339"/>
    <mergeCell ref="A339:B339"/>
    <mergeCell ref="B332:C332"/>
    <mergeCell ref="E332:F332"/>
    <mergeCell ref="J332:L332"/>
    <mergeCell ref="A334:B335"/>
    <mergeCell ref="D334:D335"/>
    <mergeCell ref="E334:E335"/>
    <mergeCell ref="F334:F335"/>
    <mergeCell ref="H334:H335"/>
    <mergeCell ref="I334:I335"/>
    <mergeCell ref="A321:B321"/>
    <mergeCell ref="M321:M322"/>
    <mergeCell ref="A322:B322"/>
    <mergeCell ref="A323:B323"/>
    <mergeCell ref="D324:D325"/>
    <mergeCell ref="F324:F325"/>
    <mergeCell ref="H324:I325"/>
    <mergeCell ref="J324:J325"/>
    <mergeCell ref="J315:J316"/>
    <mergeCell ref="M315:M316"/>
    <mergeCell ref="A317:B317"/>
    <mergeCell ref="A318:B318"/>
    <mergeCell ref="A319:B319"/>
    <mergeCell ref="M319:M320"/>
    <mergeCell ref="A320:B320"/>
    <mergeCell ref="A315:B316"/>
    <mergeCell ref="D315:D316"/>
    <mergeCell ref="E315:E316"/>
    <mergeCell ref="F315:F316"/>
    <mergeCell ref="H315:H316"/>
    <mergeCell ref="I315:I316"/>
    <mergeCell ref="A302:B302"/>
    <mergeCell ref="M302:M303"/>
    <mergeCell ref="A303:B303"/>
    <mergeCell ref="A304:B304"/>
    <mergeCell ref="D305:D306"/>
    <mergeCell ref="F305:F306"/>
    <mergeCell ref="H305:I306"/>
    <mergeCell ref="J305:J306"/>
    <mergeCell ref="A307:M307"/>
    <mergeCell ref="A308:M308"/>
    <mergeCell ref="A309:M309"/>
    <mergeCell ref="A311:M311"/>
    <mergeCell ref="B313:C313"/>
    <mergeCell ref="E313:F313"/>
    <mergeCell ref="J313:L313"/>
    <mergeCell ref="M296:M297"/>
    <mergeCell ref="A298:B298"/>
    <mergeCell ref="A299:B299"/>
    <mergeCell ref="A300:B300"/>
    <mergeCell ref="M300:M301"/>
    <mergeCell ref="A301:B301"/>
    <mergeCell ref="B294:C294"/>
    <mergeCell ref="E294:F294"/>
    <mergeCell ref="J294:L294"/>
    <mergeCell ref="A296:B297"/>
    <mergeCell ref="D296:D297"/>
    <mergeCell ref="E296:F297"/>
    <mergeCell ref="H296:H297"/>
    <mergeCell ref="I296:I297"/>
    <mergeCell ref="J296:J297"/>
    <mergeCell ref="A283:B283"/>
    <mergeCell ref="M283:M284"/>
    <mergeCell ref="A284:B284"/>
    <mergeCell ref="A285:B285"/>
    <mergeCell ref="D286:D287"/>
    <mergeCell ref="F286:F287"/>
    <mergeCell ref="H286:I287"/>
    <mergeCell ref="J286:J287"/>
    <mergeCell ref="M277:M278"/>
    <mergeCell ref="A279:B279"/>
    <mergeCell ref="A280:B280"/>
    <mergeCell ref="A281:B281"/>
    <mergeCell ref="H281:I281"/>
    <mergeCell ref="M281:M282"/>
    <mergeCell ref="A282:B282"/>
    <mergeCell ref="B275:C275"/>
    <mergeCell ref="E275:F275"/>
    <mergeCell ref="J275:L275"/>
    <mergeCell ref="A277:B278"/>
    <mergeCell ref="D277:D278"/>
    <mergeCell ref="E277:F278"/>
    <mergeCell ref="H277:H278"/>
    <mergeCell ref="I277:I278"/>
    <mergeCell ref="J277:J278"/>
    <mergeCell ref="A264:B264"/>
    <mergeCell ref="M264:M265"/>
    <mergeCell ref="A265:B265"/>
    <mergeCell ref="A266:B266"/>
    <mergeCell ref="D267:D268"/>
    <mergeCell ref="F267:F268"/>
    <mergeCell ref="H267:I268"/>
    <mergeCell ref="J267:J268"/>
    <mergeCell ref="J258:J259"/>
    <mergeCell ref="M258:M259"/>
    <mergeCell ref="A260:B260"/>
    <mergeCell ref="A261:B261"/>
    <mergeCell ref="A262:B262"/>
    <mergeCell ref="M262:M263"/>
    <mergeCell ref="A263:B263"/>
    <mergeCell ref="B256:C256"/>
    <mergeCell ref="E256:F256"/>
    <mergeCell ref="J256:L256"/>
    <mergeCell ref="A258:B259"/>
    <mergeCell ref="D258:D259"/>
    <mergeCell ref="E258:E259"/>
    <mergeCell ref="F258:F259"/>
    <mergeCell ref="H258:H259"/>
    <mergeCell ref="I258:I259"/>
    <mergeCell ref="H248:I249"/>
    <mergeCell ref="J248:J249"/>
    <mergeCell ref="J239:J240"/>
    <mergeCell ref="M239:M240"/>
    <mergeCell ref="A241:B241"/>
    <mergeCell ref="A242:B242"/>
    <mergeCell ref="A243:B243"/>
    <mergeCell ref="M243:M244"/>
    <mergeCell ref="A244:B244"/>
    <mergeCell ref="A226:B226"/>
    <mergeCell ref="M226:M227"/>
    <mergeCell ref="A227:B227"/>
    <mergeCell ref="A228:B228"/>
    <mergeCell ref="D229:D230"/>
    <mergeCell ref="F229:F230"/>
    <mergeCell ref="H229:I230"/>
    <mergeCell ref="J229:J230"/>
    <mergeCell ref="M220:M221"/>
    <mergeCell ref="A222:B222"/>
    <mergeCell ref="A223:B223"/>
    <mergeCell ref="A224:B224"/>
    <mergeCell ref="M224:M225"/>
    <mergeCell ref="A225:B225"/>
    <mergeCell ref="E218:F218"/>
    <mergeCell ref="J218:L218"/>
    <mergeCell ref="A220:B221"/>
    <mergeCell ref="D220:D221"/>
    <mergeCell ref="E220:E221"/>
    <mergeCell ref="F220:F221"/>
    <mergeCell ref="H220:H221"/>
    <mergeCell ref="I220:I221"/>
    <mergeCell ref="J220:J221"/>
    <mergeCell ref="A207:B207"/>
    <mergeCell ref="M207:M208"/>
    <mergeCell ref="A208:B208"/>
    <mergeCell ref="A209:B209"/>
    <mergeCell ref="D210:D211"/>
    <mergeCell ref="F210:F211"/>
    <mergeCell ref="H210:I211"/>
    <mergeCell ref="J210:J211"/>
    <mergeCell ref="M201:M202"/>
    <mergeCell ref="A203:B203"/>
    <mergeCell ref="A204:B204"/>
    <mergeCell ref="A205:B205"/>
    <mergeCell ref="M205:M206"/>
    <mergeCell ref="A206:B206"/>
    <mergeCell ref="B199:C199"/>
    <mergeCell ref="E199:F199"/>
    <mergeCell ref="J199:L199"/>
    <mergeCell ref="A201:B202"/>
    <mergeCell ref="D201:D202"/>
    <mergeCell ref="E201:F202"/>
    <mergeCell ref="H201:H202"/>
    <mergeCell ref="I201:I202"/>
    <mergeCell ref="J201:J202"/>
    <mergeCell ref="M188:M189"/>
    <mergeCell ref="A189:B189"/>
    <mergeCell ref="A190:B190"/>
    <mergeCell ref="D191:D192"/>
    <mergeCell ref="F191:F192"/>
    <mergeCell ref="H191:I192"/>
    <mergeCell ref="J191:J192"/>
    <mergeCell ref="M182:M183"/>
    <mergeCell ref="A184:B184"/>
    <mergeCell ref="A185:B185"/>
    <mergeCell ref="A186:B186"/>
    <mergeCell ref="M186:M187"/>
    <mergeCell ref="A187:B187"/>
    <mergeCell ref="J180:L180"/>
    <mergeCell ref="A182:B183"/>
    <mergeCell ref="D182:D183"/>
    <mergeCell ref="E182:F183"/>
    <mergeCell ref="H182:H183"/>
    <mergeCell ref="I182:I183"/>
    <mergeCell ref="J182:J183"/>
    <mergeCell ref="A168:B168"/>
    <mergeCell ref="A188:B188"/>
    <mergeCell ref="M168:M169"/>
    <mergeCell ref="A169:B169"/>
    <mergeCell ref="A170:B170"/>
    <mergeCell ref="D171:D172"/>
    <mergeCell ref="F171:F172"/>
    <mergeCell ref="H171:I172"/>
    <mergeCell ref="J171:J172"/>
    <mergeCell ref="M162:M163"/>
    <mergeCell ref="A164:B164"/>
    <mergeCell ref="A165:B165"/>
    <mergeCell ref="A166:B166"/>
    <mergeCell ref="M166:M167"/>
    <mergeCell ref="A167:B167"/>
    <mergeCell ref="A151:B151"/>
    <mergeCell ref="D152:D153"/>
    <mergeCell ref="F152:F153"/>
    <mergeCell ref="H152:I153"/>
    <mergeCell ref="J152:J153"/>
    <mergeCell ref="M143:M144"/>
    <mergeCell ref="A145:B145"/>
    <mergeCell ref="A146:B146"/>
    <mergeCell ref="A147:B147"/>
    <mergeCell ref="M147:M148"/>
    <mergeCell ref="A148:B148"/>
    <mergeCell ref="A143:B144"/>
    <mergeCell ref="D143:D144"/>
    <mergeCell ref="E143:F144"/>
    <mergeCell ref="H143:H144"/>
    <mergeCell ref="I143:I144"/>
    <mergeCell ref="J143:J144"/>
    <mergeCell ref="A149:B149"/>
    <mergeCell ref="M149:M150"/>
    <mergeCell ref="A150:B150"/>
    <mergeCell ref="H133:I134"/>
    <mergeCell ref="J133:J134"/>
    <mergeCell ref="M124:M125"/>
    <mergeCell ref="A126:B126"/>
    <mergeCell ref="A127:B127"/>
    <mergeCell ref="A128:B128"/>
    <mergeCell ref="M128:M129"/>
    <mergeCell ref="A129:B129"/>
    <mergeCell ref="E141:F141"/>
    <mergeCell ref="J141:L141"/>
    <mergeCell ref="A111:B111"/>
    <mergeCell ref="M111:M112"/>
    <mergeCell ref="A112:B112"/>
    <mergeCell ref="A113:B113"/>
    <mergeCell ref="D114:D115"/>
    <mergeCell ref="F114:F115"/>
    <mergeCell ref="H114:I115"/>
    <mergeCell ref="J114:J115"/>
    <mergeCell ref="J105:J106"/>
    <mergeCell ref="M105:M106"/>
    <mergeCell ref="A107:B107"/>
    <mergeCell ref="A108:B108"/>
    <mergeCell ref="A109:B109"/>
    <mergeCell ref="M109:M110"/>
    <mergeCell ref="A110:B110"/>
    <mergeCell ref="A105:B106"/>
    <mergeCell ref="D105:D106"/>
    <mergeCell ref="E105:E106"/>
    <mergeCell ref="F105:G106"/>
    <mergeCell ref="H105:H106"/>
    <mergeCell ref="I105:I106"/>
    <mergeCell ref="D95:D96"/>
    <mergeCell ref="E95:F96"/>
    <mergeCell ref="H95:I96"/>
    <mergeCell ref="J95:J96"/>
    <mergeCell ref="B103:C103"/>
    <mergeCell ref="E103:F103"/>
    <mergeCell ref="J103:L103"/>
    <mergeCell ref="M86:M87"/>
    <mergeCell ref="A88:B88"/>
    <mergeCell ref="A89:B89"/>
    <mergeCell ref="A90:B90"/>
    <mergeCell ref="M90:M91"/>
    <mergeCell ref="M92:M93"/>
    <mergeCell ref="A98:M98"/>
    <mergeCell ref="A99:M99"/>
    <mergeCell ref="A101:M101"/>
    <mergeCell ref="M67:M68"/>
    <mergeCell ref="A69:B69"/>
    <mergeCell ref="A70:B70"/>
    <mergeCell ref="A71:B71"/>
    <mergeCell ref="M71:M72"/>
    <mergeCell ref="B84:C84"/>
    <mergeCell ref="E84:F84"/>
    <mergeCell ref="J84:L84"/>
    <mergeCell ref="A86:B87"/>
    <mergeCell ref="D86:D87"/>
    <mergeCell ref="E86:F87"/>
    <mergeCell ref="H86:H87"/>
    <mergeCell ref="I86:I87"/>
    <mergeCell ref="J86:J87"/>
    <mergeCell ref="A54:B54"/>
    <mergeCell ref="M54:M55"/>
    <mergeCell ref="A55:B55"/>
    <mergeCell ref="A56:B56"/>
    <mergeCell ref="D57:D58"/>
    <mergeCell ref="F57:F58"/>
    <mergeCell ref="H57:I58"/>
    <mergeCell ref="J57:J58"/>
    <mergeCell ref="M48:M49"/>
    <mergeCell ref="A51:B51"/>
    <mergeCell ref="A52:B52"/>
    <mergeCell ref="C52:D52"/>
    <mergeCell ref="M52:M53"/>
    <mergeCell ref="A53:B53"/>
    <mergeCell ref="A40:M40"/>
    <mergeCell ref="A41:M41"/>
    <mergeCell ref="A42:M42"/>
    <mergeCell ref="A44:M44"/>
    <mergeCell ref="B46:C46"/>
    <mergeCell ref="E46:F46"/>
    <mergeCell ref="J46:L46"/>
    <mergeCell ref="A48:B49"/>
    <mergeCell ref="D48:D49"/>
    <mergeCell ref="E48:E49"/>
    <mergeCell ref="F48:F49"/>
    <mergeCell ref="H48:H49"/>
    <mergeCell ref="I48:I49"/>
    <mergeCell ref="J48:J49"/>
    <mergeCell ref="M35:M36"/>
    <mergeCell ref="D38:D39"/>
    <mergeCell ref="F38:F39"/>
    <mergeCell ref="H38:I39"/>
    <mergeCell ref="J38:J39"/>
    <mergeCell ref="M29:M30"/>
    <mergeCell ref="A31:B31"/>
    <mergeCell ref="A32:B32"/>
    <mergeCell ref="A33:B33"/>
    <mergeCell ref="M33:M34"/>
    <mergeCell ref="A34:B34"/>
    <mergeCell ref="A21:M21"/>
    <mergeCell ref="A22:M22"/>
    <mergeCell ref="A23:M23"/>
    <mergeCell ref="A25:M25"/>
    <mergeCell ref="B27:C27"/>
    <mergeCell ref="E27:F27"/>
    <mergeCell ref="J27:L27"/>
    <mergeCell ref="A29:B30"/>
    <mergeCell ref="D29:D30"/>
    <mergeCell ref="E29:F30"/>
    <mergeCell ref="H29:H30"/>
    <mergeCell ref="I29:I30"/>
    <mergeCell ref="J29:J30"/>
    <mergeCell ref="M15:M16"/>
    <mergeCell ref="D18:D19"/>
    <mergeCell ref="F18:F19"/>
    <mergeCell ref="H18:I19"/>
    <mergeCell ref="J18:J19"/>
    <mergeCell ref="M9:M10"/>
    <mergeCell ref="A11:B11"/>
    <mergeCell ref="A13:B13"/>
    <mergeCell ref="C13:D13"/>
    <mergeCell ref="M13:M14"/>
    <mergeCell ref="A14:B14"/>
    <mergeCell ref="A2:M2"/>
    <mergeCell ref="A1:M1"/>
    <mergeCell ref="A3:M3"/>
    <mergeCell ref="A5:M5"/>
    <mergeCell ref="B7:C7"/>
    <mergeCell ref="E7:F7"/>
    <mergeCell ref="J7:L7"/>
    <mergeCell ref="A9:B10"/>
    <mergeCell ref="D9:D10"/>
    <mergeCell ref="F9:G10"/>
    <mergeCell ref="H9:H10"/>
    <mergeCell ref="I9:I10"/>
    <mergeCell ref="J9:J10"/>
    <mergeCell ref="A59:M59"/>
    <mergeCell ref="A60:M60"/>
    <mergeCell ref="A61:M61"/>
    <mergeCell ref="A63:M63"/>
    <mergeCell ref="A78:M78"/>
    <mergeCell ref="A79:M79"/>
    <mergeCell ref="A80:M80"/>
    <mergeCell ref="A82:M82"/>
    <mergeCell ref="A97:M97"/>
    <mergeCell ref="B65:C65"/>
    <mergeCell ref="E65:F65"/>
    <mergeCell ref="J65:L65"/>
    <mergeCell ref="A67:B68"/>
    <mergeCell ref="D67:D68"/>
    <mergeCell ref="E67:E68"/>
    <mergeCell ref="F67:F68"/>
    <mergeCell ref="H67:H68"/>
    <mergeCell ref="I67:I68"/>
    <mergeCell ref="M73:M74"/>
    <mergeCell ref="D76:D77"/>
    <mergeCell ref="F76:F77"/>
    <mergeCell ref="H76:I77"/>
    <mergeCell ref="J76:J77"/>
    <mergeCell ref="J67:J68"/>
    <mergeCell ref="A116:M116"/>
    <mergeCell ref="A117:M117"/>
    <mergeCell ref="A118:M118"/>
    <mergeCell ref="A120:M120"/>
    <mergeCell ref="A135:M135"/>
    <mergeCell ref="A136:M136"/>
    <mergeCell ref="A137:M137"/>
    <mergeCell ref="A139:M139"/>
    <mergeCell ref="A154:M154"/>
    <mergeCell ref="B122:C122"/>
    <mergeCell ref="E122:F122"/>
    <mergeCell ref="J122:L122"/>
    <mergeCell ref="A124:B125"/>
    <mergeCell ref="D124:D125"/>
    <mergeCell ref="E124:F125"/>
    <mergeCell ref="H124:H125"/>
    <mergeCell ref="I124:I125"/>
    <mergeCell ref="J124:J125"/>
    <mergeCell ref="A130:B130"/>
    <mergeCell ref="M130:M131"/>
    <mergeCell ref="A131:B131"/>
    <mergeCell ref="A132:B132"/>
    <mergeCell ref="D133:D134"/>
    <mergeCell ref="F133:F134"/>
    <mergeCell ref="A193:M193"/>
    <mergeCell ref="A197:M197"/>
    <mergeCell ref="A212:M212"/>
    <mergeCell ref="A213:M213"/>
    <mergeCell ref="A214:M214"/>
    <mergeCell ref="A216:M216"/>
    <mergeCell ref="B231:N231"/>
    <mergeCell ref="A155:M155"/>
    <mergeCell ref="A156:M156"/>
    <mergeCell ref="A158:M158"/>
    <mergeCell ref="A174:M174"/>
    <mergeCell ref="A175:M175"/>
    <mergeCell ref="A176:M176"/>
    <mergeCell ref="A178:M178"/>
    <mergeCell ref="A194:M194"/>
    <mergeCell ref="A195:M195"/>
    <mergeCell ref="J160:L160"/>
    <mergeCell ref="A162:B163"/>
    <mergeCell ref="D162:D163"/>
    <mergeCell ref="E162:E163"/>
    <mergeCell ref="F162:F163"/>
    <mergeCell ref="H162:H163"/>
    <mergeCell ref="I162:I163"/>
    <mergeCell ref="J162:J163"/>
    <mergeCell ref="B232:N232"/>
    <mergeCell ref="B233:N233"/>
    <mergeCell ref="B235:N235"/>
    <mergeCell ref="A250:M250"/>
    <mergeCell ref="A251:M251"/>
    <mergeCell ref="A252:M252"/>
    <mergeCell ref="A254:M254"/>
    <mergeCell ref="A269:M269"/>
    <mergeCell ref="A270:M270"/>
    <mergeCell ref="B237:C237"/>
    <mergeCell ref="E237:F237"/>
    <mergeCell ref="J237:L237"/>
    <mergeCell ref="A239:B240"/>
    <mergeCell ref="D239:D240"/>
    <mergeCell ref="E239:E240"/>
    <mergeCell ref="F239:F240"/>
    <mergeCell ref="H239:H240"/>
    <mergeCell ref="I239:I240"/>
    <mergeCell ref="A245:B245"/>
    <mergeCell ref="M245:M246"/>
    <mergeCell ref="A246:B246"/>
    <mergeCell ref="A247:B247"/>
    <mergeCell ref="D248:D249"/>
    <mergeCell ref="F248:F249"/>
    <mergeCell ref="A365:M365"/>
    <mergeCell ref="A366:M366"/>
    <mergeCell ref="A368:M368"/>
    <mergeCell ref="A383:M383"/>
    <mergeCell ref="A384:M384"/>
    <mergeCell ref="A385:M385"/>
    <mergeCell ref="A387:M387"/>
    <mergeCell ref="A12:B12"/>
    <mergeCell ref="C12:D12"/>
    <mergeCell ref="A326:M326"/>
    <mergeCell ref="A327:M327"/>
    <mergeCell ref="A328:M328"/>
    <mergeCell ref="A330:M330"/>
    <mergeCell ref="A345:M345"/>
    <mergeCell ref="A346:M346"/>
    <mergeCell ref="A347:M347"/>
    <mergeCell ref="A349:M349"/>
    <mergeCell ref="A364:M364"/>
    <mergeCell ref="A271:M271"/>
    <mergeCell ref="A273:M273"/>
    <mergeCell ref="A288:M288"/>
    <mergeCell ref="A289:M289"/>
    <mergeCell ref="A290:M290"/>
    <mergeCell ref="A292:M292"/>
  </mergeCells>
  <pageMargins left="0.7" right="0.7" top="0.75" bottom="0.75" header="0.3" footer="0.3"/>
  <pageSetup paperSize="11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7868E-2331-4369-9790-308A73ED970D}">
  <sheetPr>
    <tabColor rgb="FFFFFF00"/>
  </sheetPr>
  <dimension ref="A1:S83"/>
  <sheetViews>
    <sheetView workbookViewId="0">
      <selection activeCell="Q46" sqref="Q46"/>
    </sheetView>
  </sheetViews>
  <sheetFormatPr defaultRowHeight="15"/>
  <cols>
    <col min="1" max="1" width="3.140625" customWidth="1"/>
    <col min="2" max="2" width="22.85546875" customWidth="1"/>
    <col min="3" max="3" width="6.7109375" customWidth="1"/>
    <col min="4" max="4" width="5.28515625" customWidth="1"/>
    <col min="5" max="5" width="6.7109375" customWidth="1"/>
    <col min="6" max="6" width="8" customWidth="1"/>
    <col min="7" max="7" width="38.28515625" customWidth="1"/>
    <col min="8" max="8" width="8.7109375" customWidth="1"/>
    <col min="9" max="9" width="8.85546875" customWidth="1"/>
    <col min="10" max="10" width="14.85546875" customWidth="1"/>
    <col min="11" max="11" width="6.140625" customWidth="1"/>
    <col min="12" max="12" width="8.28515625" customWidth="1"/>
    <col min="13" max="13" width="13.85546875" customWidth="1"/>
    <col min="14" max="14" width="6.5703125" customWidth="1"/>
    <col min="15" max="17" width="6.140625" customWidth="1"/>
  </cols>
  <sheetData>
    <row r="1" spans="1:18">
      <c r="A1" s="1"/>
      <c r="B1" s="1" t="s">
        <v>300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1"/>
      <c r="B2" s="3" t="s">
        <v>1</v>
      </c>
      <c r="C2" s="3"/>
      <c r="D2" s="3"/>
      <c r="E2" s="3"/>
      <c r="F2" s="3"/>
      <c r="G2" s="3"/>
      <c r="H2" s="3"/>
      <c r="I2" s="3"/>
      <c r="J2" s="1"/>
      <c r="K2" s="1"/>
      <c r="L2" s="1"/>
      <c r="M2" s="1"/>
      <c r="N2" s="1"/>
      <c r="O2" s="1"/>
      <c r="P2" s="1"/>
      <c r="Q2" s="1"/>
      <c r="R2" s="1"/>
    </row>
    <row r="3" spans="1:18">
      <c r="A3" s="1"/>
      <c r="B3" s="3" t="s">
        <v>2</v>
      </c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Q3" s="1"/>
      <c r="R3" s="1"/>
    </row>
    <row r="4" spans="1:18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.75">
      <c r="A5" s="1"/>
      <c r="B5" s="316" t="s">
        <v>299</v>
      </c>
      <c r="C5" s="316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1"/>
      <c r="O5" s="1"/>
      <c r="P5" s="1"/>
      <c r="Q5" s="1"/>
      <c r="R5" s="1"/>
    </row>
    <row r="6" spans="1:18" ht="15" customHeight="1">
      <c r="A6" s="1"/>
      <c r="B6" s="317" t="s">
        <v>298</v>
      </c>
      <c r="C6" s="317"/>
      <c r="D6" s="317"/>
      <c r="E6" s="317"/>
      <c r="F6" s="317"/>
      <c r="G6" s="317"/>
      <c r="H6" s="317"/>
      <c r="I6" s="317"/>
      <c r="J6" s="317"/>
      <c r="K6" s="317"/>
      <c r="L6" s="317"/>
      <c r="M6" s="317"/>
      <c r="N6" s="1"/>
      <c r="O6" s="1"/>
      <c r="P6" s="1"/>
      <c r="Q6" s="1"/>
      <c r="R6" s="1"/>
    </row>
    <row r="7" spans="1:18">
      <c r="A7" s="2"/>
      <c r="B7" s="2"/>
      <c r="C7" s="2"/>
      <c r="D7" s="2"/>
      <c r="E7" s="2"/>
      <c r="F7" s="2"/>
      <c r="G7" s="2"/>
      <c r="H7" s="2"/>
      <c r="I7" s="2"/>
      <c r="J7" s="5"/>
      <c r="K7" s="5"/>
      <c r="L7" s="5" t="s">
        <v>30</v>
      </c>
      <c r="M7" s="1"/>
      <c r="N7" s="242"/>
      <c r="O7" s="1"/>
      <c r="P7" s="1"/>
    </row>
    <row r="8" spans="1:18">
      <c r="A8" s="318" t="s">
        <v>5</v>
      </c>
      <c r="B8" s="320" t="s">
        <v>297</v>
      </c>
      <c r="C8" s="320" t="s">
        <v>296</v>
      </c>
      <c r="D8" s="320" t="s">
        <v>295</v>
      </c>
      <c r="E8" s="320" t="s">
        <v>294</v>
      </c>
      <c r="F8" s="320" t="s">
        <v>293</v>
      </c>
      <c r="G8" s="318" t="s">
        <v>292</v>
      </c>
      <c r="H8" s="320" t="s">
        <v>291</v>
      </c>
      <c r="I8" s="320" t="s">
        <v>290</v>
      </c>
      <c r="J8" s="320" t="s">
        <v>7</v>
      </c>
      <c r="K8" s="320" t="s">
        <v>8</v>
      </c>
      <c r="L8" s="318" t="s">
        <v>289</v>
      </c>
      <c r="M8" s="320" t="s">
        <v>9</v>
      </c>
      <c r="N8" s="311"/>
      <c r="O8" s="311"/>
      <c r="P8" s="311"/>
      <c r="Q8" s="311"/>
      <c r="R8" s="312"/>
    </row>
    <row r="9" spans="1:18">
      <c r="A9" s="319"/>
      <c r="B9" s="321"/>
      <c r="C9" s="321"/>
      <c r="D9" s="321"/>
      <c r="E9" s="321"/>
      <c r="F9" s="321"/>
      <c r="G9" s="319"/>
      <c r="H9" s="321"/>
      <c r="I9" s="321"/>
      <c r="J9" s="321"/>
      <c r="K9" s="321"/>
      <c r="L9" s="319"/>
      <c r="M9" s="321"/>
      <c r="N9" s="311"/>
      <c r="O9" s="311"/>
      <c r="P9" s="311"/>
      <c r="Q9" s="311"/>
      <c r="R9" s="312"/>
    </row>
    <row r="10" spans="1:18">
      <c r="A10" s="235">
        <v>1</v>
      </c>
      <c r="B10" s="191" t="s">
        <v>288</v>
      </c>
      <c r="C10" s="202"/>
      <c r="D10" s="202" t="s">
        <v>113</v>
      </c>
      <c r="E10" s="202" t="s">
        <v>112</v>
      </c>
      <c r="F10" s="202"/>
      <c r="G10" s="202"/>
      <c r="H10" s="202"/>
      <c r="I10" s="202"/>
      <c r="J10" s="191" t="s">
        <v>287</v>
      </c>
      <c r="K10" s="202">
        <v>202101</v>
      </c>
      <c r="L10" s="233"/>
      <c r="M10" s="191"/>
      <c r="N10" s="231"/>
      <c r="O10" s="231"/>
      <c r="P10" s="231"/>
      <c r="Q10" s="231"/>
      <c r="R10" s="230"/>
    </row>
    <row r="11" spans="1:18">
      <c r="A11" s="235">
        <v>2</v>
      </c>
      <c r="B11" s="191" t="s">
        <v>286</v>
      </c>
      <c r="C11" s="202"/>
      <c r="D11" s="202" t="s">
        <v>120</v>
      </c>
      <c r="E11" s="202" t="s">
        <v>112</v>
      </c>
      <c r="F11" s="202"/>
      <c r="G11" s="202"/>
      <c r="H11" s="202"/>
      <c r="I11" s="202"/>
      <c r="J11" s="191" t="s">
        <v>285</v>
      </c>
      <c r="K11" s="202">
        <v>202102</v>
      </c>
      <c r="L11" s="233"/>
      <c r="M11" s="191"/>
      <c r="N11" s="231"/>
      <c r="O11" s="231"/>
      <c r="P11" s="231"/>
      <c r="Q11" s="231"/>
      <c r="R11" s="230"/>
    </row>
    <row r="12" spans="1:18">
      <c r="A12" s="235">
        <v>3</v>
      </c>
      <c r="B12" s="191" t="s">
        <v>18</v>
      </c>
      <c r="C12" s="202" t="s">
        <v>284</v>
      </c>
      <c r="D12" s="202" t="s">
        <v>113</v>
      </c>
      <c r="E12" s="202" t="s">
        <v>112</v>
      </c>
      <c r="F12" s="204">
        <v>26313</v>
      </c>
      <c r="G12" s="202" t="s">
        <v>283</v>
      </c>
      <c r="H12" s="234">
        <v>242523</v>
      </c>
      <c r="I12" s="234"/>
      <c r="J12" s="191" t="s">
        <v>19</v>
      </c>
      <c r="K12" s="202">
        <v>202103</v>
      </c>
      <c r="L12" s="233">
        <v>30000</v>
      </c>
      <c r="M12" s="191" t="s">
        <v>20</v>
      </c>
      <c r="N12" s="232"/>
      <c r="O12" s="232"/>
      <c r="P12" s="231"/>
      <c r="Q12" s="231"/>
      <c r="R12" s="230"/>
    </row>
    <row r="13" spans="1:18" ht="16.5" hidden="1" customHeight="1">
      <c r="A13" s="220">
        <v>4</v>
      </c>
      <c r="B13" s="219" t="s">
        <v>282</v>
      </c>
      <c r="C13" s="216"/>
      <c r="D13" s="216" t="s">
        <v>120</v>
      </c>
      <c r="E13" s="216" t="s">
        <v>112</v>
      </c>
      <c r="F13" s="204"/>
      <c r="G13" s="216"/>
      <c r="H13" s="238"/>
      <c r="I13" s="238"/>
      <c r="J13" s="219" t="s">
        <v>281</v>
      </c>
      <c r="K13" s="216">
        <v>202104</v>
      </c>
      <c r="L13" s="227"/>
      <c r="M13" s="191"/>
      <c r="N13" s="232"/>
      <c r="O13" s="232"/>
      <c r="P13" s="231"/>
      <c r="Q13" s="231"/>
      <c r="R13" s="231"/>
    </row>
    <row r="14" spans="1:18" ht="10.5" hidden="1" customHeight="1">
      <c r="A14" s="220">
        <v>5</v>
      </c>
      <c r="B14" s="219" t="s">
        <v>280</v>
      </c>
      <c r="C14" s="216"/>
      <c r="D14" s="216" t="s">
        <v>120</v>
      </c>
      <c r="E14" s="216" t="s">
        <v>112</v>
      </c>
      <c r="F14" s="204"/>
      <c r="G14" s="216"/>
      <c r="H14" s="223"/>
      <c r="I14" s="223"/>
      <c r="J14" s="219" t="s">
        <v>279</v>
      </c>
      <c r="K14" s="216">
        <v>202105</v>
      </c>
      <c r="L14" s="222">
        <v>17000</v>
      </c>
      <c r="M14" s="219" t="s">
        <v>278</v>
      </c>
      <c r="N14" s="232"/>
      <c r="O14" s="232"/>
      <c r="P14" s="231"/>
      <c r="Q14" s="231"/>
      <c r="R14" s="230"/>
    </row>
    <row r="15" spans="1:18" ht="13.5" hidden="1" customHeight="1">
      <c r="A15" s="220">
        <v>6</v>
      </c>
      <c r="B15" s="219" t="s">
        <v>277</v>
      </c>
      <c r="C15" s="216" t="s">
        <v>199</v>
      </c>
      <c r="D15" s="216" t="s">
        <v>120</v>
      </c>
      <c r="E15" s="216" t="s">
        <v>112</v>
      </c>
      <c r="F15" s="204"/>
      <c r="G15" s="216"/>
      <c r="H15" s="223">
        <v>242523</v>
      </c>
      <c r="I15" s="223">
        <v>243434</v>
      </c>
      <c r="J15" s="219" t="s">
        <v>32</v>
      </c>
      <c r="K15" s="216">
        <v>202106</v>
      </c>
      <c r="L15" s="222">
        <v>23500</v>
      </c>
      <c r="M15" s="219" t="s">
        <v>276</v>
      </c>
      <c r="N15" s="232"/>
      <c r="O15" s="232"/>
      <c r="P15" s="231"/>
      <c r="Q15" s="231"/>
      <c r="R15" s="230"/>
    </row>
    <row r="16" spans="1:18">
      <c r="A16" s="235">
        <v>7</v>
      </c>
      <c r="B16" s="191" t="s">
        <v>21</v>
      </c>
      <c r="C16" s="202" t="s">
        <v>275</v>
      </c>
      <c r="D16" s="202" t="s">
        <v>120</v>
      </c>
      <c r="E16" s="202" t="s">
        <v>274</v>
      </c>
      <c r="F16" s="204" t="s">
        <v>273</v>
      </c>
      <c r="G16" s="202" t="s">
        <v>272</v>
      </c>
      <c r="H16" s="234">
        <v>242523</v>
      </c>
      <c r="I16" s="234"/>
      <c r="J16" s="191" t="s">
        <v>271</v>
      </c>
      <c r="K16" s="202">
        <v>202107</v>
      </c>
      <c r="L16" s="233">
        <v>12500</v>
      </c>
      <c r="M16" s="191" t="s">
        <v>23</v>
      </c>
      <c r="N16" s="232"/>
      <c r="O16" s="232"/>
      <c r="P16" s="231"/>
      <c r="Q16" s="231"/>
      <c r="R16" s="230"/>
    </row>
    <row r="17" spans="1:18" hidden="1">
      <c r="A17" s="212">
        <v>8</v>
      </c>
      <c r="B17" s="201" t="s">
        <v>270</v>
      </c>
      <c r="C17" s="200"/>
      <c r="D17" s="200" t="s">
        <v>120</v>
      </c>
      <c r="E17" s="200" t="s">
        <v>112</v>
      </c>
      <c r="F17" s="204"/>
      <c r="G17" s="200"/>
      <c r="H17" s="241"/>
      <c r="I17" s="238"/>
      <c r="J17" s="201" t="s">
        <v>269</v>
      </c>
      <c r="K17" s="200">
        <v>202108</v>
      </c>
      <c r="L17" s="227">
        <v>20500</v>
      </c>
      <c r="M17" s="201"/>
      <c r="N17" s="232"/>
      <c r="O17" s="232"/>
      <c r="P17" s="231"/>
      <c r="Q17" s="231"/>
      <c r="R17" s="230"/>
    </row>
    <row r="18" spans="1:18" hidden="1">
      <c r="A18" s="212">
        <v>9</v>
      </c>
      <c r="B18" s="201" t="s">
        <v>268</v>
      </c>
      <c r="C18" s="200"/>
      <c r="D18" s="200" t="s">
        <v>120</v>
      </c>
      <c r="E18" s="200" t="s">
        <v>112</v>
      </c>
      <c r="F18" s="204"/>
      <c r="G18" s="200"/>
      <c r="H18" s="241"/>
      <c r="I18" s="238"/>
      <c r="J18" s="201" t="s">
        <v>35</v>
      </c>
      <c r="K18" s="200">
        <v>202109</v>
      </c>
      <c r="L18" s="227"/>
      <c r="M18" s="201" t="s">
        <v>267</v>
      </c>
      <c r="N18" s="232"/>
      <c r="O18" s="232"/>
      <c r="P18" s="231"/>
      <c r="Q18" s="231"/>
      <c r="R18" s="230"/>
    </row>
    <row r="19" spans="1:18" hidden="1">
      <c r="A19" s="212">
        <v>10</v>
      </c>
      <c r="B19" s="201" t="s">
        <v>266</v>
      </c>
      <c r="C19" s="200"/>
      <c r="D19" s="200" t="s">
        <v>120</v>
      </c>
      <c r="E19" s="200" t="s">
        <v>112</v>
      </c>
      <c r="F19" s="204"/>
      <c r="G19" s="200"/>
      <c r="H19" s="241"/>
      <c r="I19" s="238"/>
      <c r="J19" s="201" t="s">
        <v>35</v>
      </c>
      <c r="K19" s="200">
        <v>202110</v>
      </c>
      <c r="L19" s="227"/>
      <c r="M19" s="201" t="s">
        <v>265</v>
      </c>
      <c r="N19" s="232"/>
      <c r="O19" s="232"/>
      <c r="P19" s="231"/>
      <c r="Q19" s="231"/>
      <c r="R19" s="230"/>
    </row>
    <row r="20" spans="1:18">
      <c r="A20" s="211">
        <v>11</v>
      </c>
      <c r="B20" s="9" t="s">
        <v>88</v>
      </c>
      <c r="C20" s="10"/>
      <c r="D20" s="10" t="s">
        <v>113</v>
      </c>
      <c r="E20" s="10" t="s">
        <v>112</v>
      </c>
      <c r="F20" s="204">
        <v>29738</v>
      </c>
      <c r="G20" s="10" t="s">
        <v>264</v>
      </c>
      <c r="H20" s="224">
        <v>242583</v>
      </c>
      <c r="I20" s="240"/>
      <c r="J20" s="9" t="s">
        <v>89</v>
      </c>
      <c r="K20" s="10">
        <v>202111</v>
      </c>
      <c r="L20" s="190">
        <v>18000</v>
      </c>
      <c r="M20" s="239"/>
      <c r="N20" s="232"/>
      <c r="O20" s="232"/>
      <c r="P20" s="231"/>
      <c r="Q20" s="231"/>
      <c r="R20" s="230"/>
    </row>
    <row r="21" spans="1:18" hidden="1">
      <c r="A21" s="220">
        <v>12</v>
      </c>
      <c r="B21" s="219" t="s">
        <v>263</v>
      </c>
      <c r="C21" s="216"/>
      <c r="D21" s="216" t="s">
        <v>113</v>
      </c>
      <c r="E21" s="216" t="s">
        <v>112</v>
      </c>
      <c r="F21" s="204"/>
      <c r="G21" s="216"/>
      <c r="H21" s="238"/>
      <c r="I21" s="238"/>
      <c r="J21" s="219" t="s">
        <v>35</v>
      </c>
      <c r="K21" s="216">
        <v>202112</v>
      </c>
      <c r="L21" s="222"/>
      <c r="M21" s="219" t="s">
        <v>262</v>
      </c>
      <c r="N21" s="232"/>
      <c r="O21" s="232"/>
      <c r="P21" s="231"/>
      <c r="Q21" s="231"/>
      <c r="R21" s="230"/>
    </row>
    <row r="22" spans="1:18">
      <c r="A22" s="211">
        <v>13</v>
      </c>
      <c r="B22" s="9" t="s">
        <v>31</v>
      </c>
      <c r="C22" s="10" t="s">
        <v>261</v>
      </c>
      <c r="D22" s="10" t="s">
        <v>113</v>
      </c>
      <c r="E22" s="10" t="s">
        <v>112</v>
      </c>
      <c r="F22" s="204">
        <v>29916</v>
      </c>
      <c r="G22" s="10" t="s">
        <v>260</v>
      </c>
      <c r="H22" s="224">
        <v>242688</v>
      </c>
      <c r="I22" s="224">
        <v>243769</v>
      </c>
      <c r="J22" s="9" t="s">
        <v>117</v>
      </c>
      <c r="K22" s="10">
        <v>202113</v>
      </c>
      <c r="L22" s="190">
        <v>22000</v>
      </c>
      <c r="M22" s="9" t="s">
        <v>33</v>
      </c>
      <c r="N22" s="232"/>
      <c r="O22" s="232"/>
      <c r="P22" s="231"/>
      <c r="Q22" s="231"/>
      <c r="R22" s="230"/>
    </row>
    <row r="23" spans="1:18" hidden="1">
      <c r="A23" s="212">
        <v>14</v>
      </c>
      <c r="B23" s="201" t="s">
        <v>259</v>
      </c>
      <c r="C23" s="200" t="s">
        <v>258</v>
      </c>
      <c r="D23" s="200" t="s">
        <v>120</v>
      </c>
      <c r="E23" s="200" t="s">
        <v>112</v>
      </c>
      <c r="F23" s="204"/>
      <c r="G23" s="200"/>
      <c r="H23" s="208">
        <v>242889</v>
      </c>
      <c r="I23" s="208" t="s">
        <v>257</v>
      </c>
      <c r="J23" s="201" t="s">
        <v>256</v>
      </c>
      <c r="K23" s="200">
        <v>202114</v>
      </c>
      <c r="L23" s="227">
        <v>28000</v>
      </c>
      <c r="M23" s="201" t="s">
        <v>255</v>
      </c>
      <c r="N23" s="232"/>
      <c r="O23" s="232"/>
      <c r="P23" s="231"/>
      <c r="Q23" s="231"/>
      <c r="R23" s="230"/>
    </row>
    <row r="24" spans="1:18" hidden="1">
      <c r="A24" s="212">
        <v>15</v>
      </c>
      <c r="B24" s="201" t="s">
        <v>254</v>
      </c>
      <c r="C24" s="200"/>
      <c r="D24" s="200" t="s">
        <v>120</v>
      </c>
      <c r="E24" s="200" t="s">
        <v>112</v>
      </c>
      <c r="F24" s="204"/>
      <c r="G24" s="200"/>
      <c r="H24" s="208">
        <v>242889</v>
      </c>
      <c r="I24" s="208">
        <v>243328</v>
      </c>
      <c r="J24" s="201" t="s">
        <v>253</v>
      </c>
      <c r="K24" s="200">
        <v>202115</v>
      </c>
      <c r="L24" s="227">
        <v>16000</v>
      </c>
      <c r="M24" s="201" t="s">
        <v>252</v>
      </c>
      <c r="N24" s="232"/>
      <c r="O24" s="232"/>
      <c r="P24" s="231"/>
      <c r="Q24" s="231"/>
      <c r="R24" s="230"/>
    </row>
    <row r="25" spans="1:18" hidden="1">
      <c r="A25" s="212">
        <v>16</v>
      </c>
      <c r="B25" s="201" t="s">
        <v>251</v>
      </c>
      <c r="C25" s="200"/>
      <c r="D25" s="200" t="s">
        <v>120</v>
      </c>
      <c r="E25" s="200" t="s">
        <v>112</v>
      </c>
      <c r="F25" s="204"/>
      <c r="G25" s="200"/>
      <c r="H25" s="208">
        <v>243036</v>
      </c>
      <c r="I25" s="208"/>
      <c r="J25" s="201" t="s">
        <v>35</v>
      </c>
      <c r="K25" s="200">
        <v>202116</v>
      </c>
      <c r="L25" s="227">
        <v>1500</v>
      </c>
      <c r="M25" s="201" t="s">
        <v>250</v>
      </c>
      <c r="N25" s="232"/>
      <c r="O25" s="232"/>
      <c r="P25" s="231"/>
      <c r="Q25" s="231"/>
      <c r="R25" s="230"/>
    </row>
    <row r="26" spans="1:18" hidden="1">
      <c r="A26" s="212">
        <v>17</v>
      </c>
      <c r="B26" s="201" t="s">
        <v>249</v>
      </c>
      <c r="C26" s="200"/>
      <c r="D26" s="200" t="s">
        <v>120</v>
      </c>
      <c r="E26" s="200" t="s">
        <v>112</v>
      </c>
      <c r="F26" s="204"/>
      <c r="G26" s="200"/>
      <c r="H26" s="208">
        <v>243039</v>
      </c>
      <c r="I26" s="208"/>
      <c r="J26" s="200" t="s">
        <v>248</v>
      </c>
      <c r="K26" s="200">
        <v>202117</v>
      </c>
      <c r="L26" s="227">
        <v>18000</v>
      </c>
      <c r="M26" s="200" t="s">
        <v>247</v>
      </c>
      <c r="N26" s="232"/>
      <c r="O26" s="232"/>
      <c r="P26" s="231"/>
      <c r="Q26" s="231"/>
      <c r="R26" s="230"/>
    </row>
    <row r="27" spans="1:18" hidden="1">
      <c r="A27" s="212">
        <v>18</v>
      </c>
      <c r="B27" s="201" t="s">
        <v>246</v>
      </c>
      <c r="C27" s="200"/>
      <c r="D27" s="200" t="s">
        <v>120</v>
      </c>
      <c r="E27" s="200" t="s">
        <v>112</v>
      </c>
      <c r="F27" s="204"/>
      <c r="G27" s="200"/>
      <c r="H27" s="208">
        <v>243057</v>
      </c>
      <c r="I27" s="208"/>
      <c r="J27" s="201" t="s">
        <v>35</v>
      </c>
      <c r="K27" s="200">
        <v>202118</v>
      </c>
      <c r="L27" s="227">
        <v>500</v>
      </c>
      <c r="M27" s="200" t="s">
        <v>245</v>
      </c>
      <c r="N27" s="232"/>
      <c r="O27" s="232"/>
      <c r="P27" s="231"/>
      <c r="Q27" s="231"/>
      <c r="R27" s="230"/>
    </row>
    <row r="28" spans="1:18">
      <c r="A28" s="235">
        <v>19</v>
      </c>
      <c r="B28" s="191" t="s">
        <v>34</v>
      </c>
      <c r="C28" s="202" t="s">
        <v>244</v>
      </c>
      <c r="D28" s="202" t="s">
        <v>120</v>
      </c>
      <c r="E28" s="202" t="s">
        <v>112</v>
      </c>
      <c r="F28" s="204">
        <v>37644</v>
      </c>
      <c r="G28" s="202" t="s">
        <v>243</v>
      </c>
      <c r="H28" s="234">
        <v>243064</v>
      </c>
      <c r="I28" s="234"/>
      <c r="J28" s="9" t="s">
        <v>117</v>
      </c>
      <c r="K28" s="202">
        <v>202119</v>
      </c>
      <c r="L28" s="233">
        <v>600</v>
      </c>
      <c r="M28" s="202" t="s">
        <v>242</v>
      </c>
      <c r="N28" s="232"/>
      <c r="O28" s="232"/>
      <c r="P28" s="231"/>
      <c r="Q28" s="231"/>
      <c r="R28" s="230"/>
    </row>
    <row r="29" spans="1:18" hidden="1">
      <c r="A29" s="212">
        <v>20</v>
      </c>
      <c r="B29" s="201" t="s">
        <v>241</v>
      </c>
      <c r="C29" s="200"/>
      <c r="D29" s="200" t="s">
        <v>120</v>
      </c>
      <c r="E29" s="200" t="s">
        <v>112</v>
      </c>
      <c r="F29" s="204"/>
      <c r="G29" s="200"/>
      <c r="H29" s="208">
        <v>243085</v>
      </c>
      <c r="I29" s="208">
        <v>243284</v>
      </c>
      <c r="J29" s="201" t="s">
        <v>35</v>
      </c>
      <c r="K29" s="200">
        <v>202120</v>
      </c>
      <c r="L29" s="227">
        <v>500</v>
      </c>
      <c r="M29" s="200" t="s">
        <v>240</v>
      </c>
      <c r="N29" s="232"/>
      <c r="O29" s="232"/>
      <c r="P29" s="231"/>
      <c r="Q29" s="231"/>
      <c r="R29" s="230"/>
    </row>
    <row r="30" spans="1:18" hidden="1">
      <c r="A30" s="212">
        <v>21</v>
      </c>
      <c r="B30" s="201" t="s">
        <v>239</v>
      </c>
      <c r="C30" s="200"/>
      <c r="D30" s="200" t="s">
        <v>120</v>
      </c>
      <c r="E30" s="200" t="s">
        <v>112</v>
      </c>
      <c r="F30" s="204"/>
      <c r="G30" s="200"/>
      <c r="H30" s="208">
        <v>243087</v>
      </c>
      <c r="I30" s="208"/>
      <c r="J30" s="201" t="s">
        <v>35</v>
      </c>
      <c r="K30" s="200">
        <v>202121</v>
      </c>
      <c r="L30" s="227">
        <v>12000</v>
      </c>
      <c r="M30" s="200" t="s">
        <v>238</v>
      </c>
      <c r="N30" s="232"/>
      <c r="O30" s="232"/>
      <c r="P30" s="231"/>
      <c r="Q30" s="231"/>
      <c r="R30" s="230"/>
    </row>
    <row r="31" spans="1:18" hidden="1">
      <c r="A31" s="212">
        <v>22</v>
      </c>
      <c r="B31" s="201" t="s">
        <v>237</v>
      </c>
      <c r="C31" s="200"/>
      <c r="D31" s="200" t="s">
        <v>120</v>
      </c>
      <c r="E31" s="200" t="s">
        <v>112</v>
      </c>
      <c r="F31" s="204"/>
      <c r="G31" s="200"/>
      <c r="H31" s="208">
        <v>243092</v>
      </c>
      <c r="I31" s="208">
        <v>243373</v>
      </c>
      <c r="J31" s="201" t="s">
        <v>215</v>
      </c>
      <c r="K31" s="200">
        <v>202122</v>
      </c>
      <c r="L31" s="227">
        <v>15000</v>
      </c>
      <c r="M31" s="200" t="s">
        <v>236</v>
      </c>
      <c r="N31" s="232"/>
      <c r="O31" s="232"/>
      <c r="P31" s="231"/>
      <c r="Q31" s="231"/>
      <c r="R31" s="230"/>
    </row>
    <row r="32" spans="1:18" hidden="1">
      <c r="A32" s="212">
        <v>23</v>
      </c>
      <c r="B32" s="201" t="s">
        <v>235</v>
      </c>
      <c r="C32" s="200" t="s">
        <v>234</v>
      </c>
      <c r="D32" s="200" t="s">
        <v>120</v>
      </c>
      <c r="E32" s="200" t="s">
        <v>112</v>
      </c>
      <c r="F32" s="204"/>
      <c r="G32" s="200"/>
      <c r="H32" s="208">
        <v>243175</v>
      </c>
      <c r="I32" s="208" t="s">
        <v>233</v>
      </c>
      <c r="J32" s="201" t="s">
        <v>94</v>
      </c>
      <c r="K32" s="200">
        <v>202123</v>
      </c>
      <c r="L32" s="227">
        <v>15000</v>
      </c>
      <c r="M32" s="200" t="s">
        <v>232</v>
      </c>
      <c r="N32" s="232"/>
      <c r="O32" s="232"/>
      <c r="P32" s="231"/>
      <c r="Q32" s="231"/>
      <c r="R32" s="230"/>
    </row>
    <row r="33" spans="1:19" hidden="1">
      <c r="A33" s="212">
        <v>24</v>
      </c>
      <c r="B33" s="201" t="s">
        <v>231</v>
      </c>
      <c r="C33" s="200"/>
      <c r="D33" s="200" t="s">
        <v>120</v>
      </c>
      <c r="E33" s="200" t="s">
        <v>112</v>
      </c>
      <c r="F33" s="204"/>
      <c r="G33" s="200"/>
      <c r="H33" s="208">
        <v>243193</v>
      </c>
      <c r="I33" s="208">
        <v>243240</v>
      </c>
      <c r="J33" s="201" t="s">
        <v>32</v>
      </c>
      <c r="K33" s="200">
        <v>202124</v>
      </c>
      <c r="L33" s="227">
        <v>18000</v>
      </c>
      <c r="M33" s="200" t="s">
        <v>230</v>
      </c>
      <c r="N33" s="232"/>
      <c r="O33" s="232"/>
      <c r="P33" s="231"/>
      <c r="Q33" s="231"/>
      <c r="R33" s="230"/>
    </row>
    <row r="34" spans="1:19" hidden="1">
      <c r="A34" s="212">
        <v>25</v>
      </c>
      <c r="B34" s="201" t="s">
        <v>229</v>
      </c>
      <c r="C34" s="200"/>
      <c r="D34" s="200" t="s">
        <v>120</v>
      </c>
      <c r="E34" s="200" t="s">
        <v>112</v>
      </c>
      <c r="F34" s="204"/>
      <c r="G34" s="200"/>
      <c r="H34" s="208">
        <v>242891</v>
      </c>
      <c r="I34" s="208">
        <v>243289</v>
      </c>
      <c r="J34" s="201" t="s">
        <v>32</v>
      </c>
      <c r="K34" s="200">
        <v>202125</v>
      </c>
      <c r="L34" s="227">
        <v>13000</v>
      </c>
      <c r="M34" s="200" t="s">
        <v>228</v>
      </c>
      <c r="N34" s="237"/>
      <c r="O34" s="237"/>
      <c r="P34" s="236"/>
      <c r="Q34" s="236"/>
      <c r="R34" s="236"/>
    </row>
    <row r="35" spans="1:19" hidden="1">
      <c r="A35" s="212">
        <v>26</v>
      </c>
      <c r="B35" s="201" t="s">
        <v>227</v>
      </c>
      <c r="C35" s="200" t="s">
        <v>226</v>
      </c>
      <c r="D35" s="200" t="s">
        <v>113</v>
      </c>
      <c r="E35" s="200" t="s">
        <v>112</v>
      </c>
      <c r="F35" s="204"/>
      <c r="G35" s="200"/>
      <c r="H35" s="208">
        <v>243208</v>
      </c>
      <c r="I35" s="208"/>
      <c r="J35" s="201" t="s">
        <v>225</v>
      </c>
      <c r="K35" s="200">
        <v>202126</v>
      </c>
      <c r="L35" s="227">
        <v>22000</v>
      </c>
      <c r="M35" s="200" t="s">
        <v>224</v>
      </c>
      <c r="N35" s="232"/>
      <c r="O35" s="232"/>
      <c r="P35" s="231"/>
      <c r="Q35" s="231"/>
      <c r="R35" s="230"/>
    </row>
    <row r="36" spans="1:19" hidden="1">
      <c r="A36" s="212">
        <v>27</v>
      </c>
      <c r="B36" s="201" t="s">
        <v>223</v>
      </c>
      <c r="C36" s="200" t="s">
        <v>222</v>
      </c>
      <c r="D36" s="200" t="s">
        <v>113</v>
      </c>
      <c r="E36" s="200" t="s">
        <v>112</v>
      </c>
      <c r="F36" s="243">
        <v>29171</v>
      </c>
      <c r="G36" s="200" t="s">
        <v>221</v>
      </c>
      <c r="H36" s="208">
        <v>243248</v>
      </c>
      <c r="I36" s="208"/>
      <c r="J36" s="201" t="s">
        <v>53</v>
      </c>
      <c r="K36" s="200">
        <v>202127</v>
      </c>
      <c r="L36" s="227">
        <v>45000</v>
      </c>
      <c r="M36" s="200" t="s">
        <v>220</v>
      </c>
      <c r="N36" s="232"/>
      <c r="O36" s="232"/>
      <c r="P36" s="231"/>
      <c r="Q36" s="231"/>
      <c r="R36" s="230"/>
    </row>
    <row r="37" spans="1:19" hidden="1">
      <c r="A37" s="213">
        <v>28</v>
      </c>
      <c r="B37" s="155" t="s">
        <v>219</v>
      </c>
      <c r="C37" s="210" t="s">
        <v>218</v>
      </c>
      <c r="D37" s="210" t="s">
        <v>120</v>
      </c>
      <c r="E37" s="210" t="s">
        <v>112</v>
      </c>
      <c r="F37" s="204"/>
      <c r="G37" s="210"/>
      <c r="H37" s="226">
        <v>243269</v>
      </c>
      <c r="I37" s="226">
        <v>243799</v>
      </c>
      <c r="J37" s="155" t="s">
        <v>215</v>
      </c>
      <c r="K37" s="210">
        <v>202128</v>
      </c>
      <c r="L37" s="225">
        <v>21000</v>
      </c>
      <c r="M37" s="210" t="s">
        <v>217</v>
      </c>
      <c r="N37" s="232"/>
      <c r="O37" s="232"/>
      <c r="P37" s="231"/>
      <c r="Q37" s="231"/>
      <c r="R37" s="230"/>
    </row>
    <row r="38" spans="1:19" hidden="1">
      <c r="A38" s="213">
        <v>29</v>
      </c>
      <c r="B38" s="155" t="s">
        <v>216</v>
      </c>
      <c r="C38" s="210"/>
      <c r="D38" s="210" t="s">
        <v>120</v>
      </c>
      <c r="E38" s="210" t="s">
        <v>112</v>
      </c>
      <c r="F38" s="204"/>
      <c r="G38" s="210"/>
      <c r="H38" s="226">
        <v>243301</v>
      </c>
      <c r="I38" s="226">
        <v>243307</v>
      </c>
      <c r="J38" s="155" t="s">
        <v>215</v>
      </c>
      <c r="K38" s="210">
        <v>202129</v>
      </c>
      <c r="L38" s="225">
        <v>1800</v>
      </c>
      <c r="M38" s="210" t="s">
        <v>214</v>
      </c>
      <c r="N38" s="232"/>
      <c r="O38" s="232"/>
      <c r="P38" s="231"/>
      <c r="Q38" s="231"/>
      <c r="R38" s="230"/>
    </row>
    <row r="39" spans="1:19" hidden="1">
      <c r="A39" s="213">
        <v>30</v>
      </c>
      <c r="B39" s="155" t="s">
        <v>213</v>
      </c>
      <c r="C39" s="210"/>
      <c r="D39" s="210" t="s">
        <v>120</v>
      </c>
      <c r="E39" s="210" t="s">
        <v>112</v>
      </c>
      <c r="F39" s="204"/>
      <c r="G39" s="210"/>
      <c r="H39" s="226">
        <v>243325</v>
      </c>
      <c r="I39" s="226">
        <v>243356</v>
      </c>
      <c r="J39" s="155" t="s">
        <v>212</v>
      </c>
      <c r="K39" s="210">
        <v>202130</v>
      </c>
      <c r="L39" s="225">
        <v>21000</v>
      </c>
      <c r="M39" s="210" t="s">
        <v>211</v>
      </c>
      <c r="N39" s="232"/>
      <c r="O39" s="232"/>
      <c r="P39" s="231"/>
      <c r="Q39" s="231"/>
      <c r="R39" s="230"/>
      <c r="S39" t="s">
        <v>30</v>
      </c>
    </row>
    <row r="40" spans="1:19" ht="14.1" hidden="1" customHeight="1">
      <c r="A40" s="212">
        <v>31</v>
      </c>
      <c r="B40" s="201" t="s">
        <v>210</v>
      </c>
      <c r="C40" s="200"/>
      <c r="D40" s="200" t="s">
        <v>113</v>
      </c>
      <c r="E40" s="200" t="s">
        <v>112</v>
      </c>
      <c r="F40" s="204"/>
      <c r="G40" s="200"/>
      <c r="H40" s="208">
        <v>243328</v>
      </c>
      <c r="I40" s="208">
        <v>243373</v>
      </c>
      <c r="J40" s="201" t="s">
        <v>53</v>
      </c>
      <c r="K40" s="200">
        <v>202131</v>
      </c>
      <c r="L40" s="227">
        <v>18000</v>
      </c>
      <c r="M40" s="200" t="s">
        <v>209</v>
      </c>
      <c r="N40" s="313"/>
      <c r="O40" s="313"/>
      <c r="P40" s="314"/>
      <c r="Q40" s="314" t="s">
        <v>30</v>
      </c>
      <c r="R40" s="315"/>
    </row>
    <row r="41" spans="1:19" ht="14.1" hidden="1" customHeight="1">
      <c r="A41" s="212">
        <v>32</v>
      </c>
      <c r="B41" s="228" t="s">
        <v>208</v>
      </c>
      <c r="C41" s="229" t="s">
        <v>207</v>
      </c>
      <c r="D41" s="229" t="s">
        <v>120</v>
      </c>
      <c r="E41" s="229" t="s">
        <v>112</v>
      </c>
      <c r="F41" s="204"/>
      <c r="G41" s="229"/>
      <c r="H41" s="229"/>
      <c r="I41" s="229"/>
      <c r="J41" s="228" t="s">
        <v>35</v>
      </c>
      <c r="K41" s="229">
        <v>202132</v>
      </c>
      <c r="L41" s="228"/>
      <c r="M41" s="228" t="s">
        <v>206</v>
      </c>
      <c r="N41" s="313"/>
      <c r="O41" s="313"/>
      <c r="P41" s="314"/>
      <c r="Q41" s="314"/>
      <c r="R41" s="315"/>
    </row>
    <row r="42" spans="1:19" hidden="1">
      <c r="A42" s="212">
        <v>33</v>
      </c>
      <c r="B42" s="201" t="s">
        <v>205</v>
      </c>
      <c r="C42" s="200" t="s">
        <v>204</v>
      </c>
      <c r="D42" s="200" t="s">
        <v>120</v>
      </c>
      <c r="E42" s="200" t="s">
        <v>112</v>
      </c>
      <c r="F42" s="204"/>
      <c r="G42" s="200"/>
      <c r="H42" s="208">
        <v>243348</v>
      </c>
      <c r="I42" s="208">
        <v>243618</v>
      </c>
      <c r="J42" s="201" t="s">
        <v>32</v>
      </c>
      <c r="K42" s="200">
        <v>202133</v>
      </c>
      <c r="L42" s="227">
        <v>15000</v>
      </c>
      <c r="M42" s="200" t="s">
        <v>203</v>
      </c>
      <c r="N42" s="1"/>
      <c r="O42" s="1"/>
      <c r="P42" s="1"/>
      <c r="Q42" s="1" t="s">
        <v>30</v>
      </c>
      <c r="R42" s="1"/>
      <c r="S42" t="s">
        <v>30</v>
      </c>
    </row>
    <row r="43" spans="1:19">
      <c r="A43" s="211">
        <v>34</v>
      </c>
      <c r="B43" s="9" t="s">
        <v>202</v>
      </c>
      <c r="C43" s="10" t="s">
        <v>201</v>
      </c>
      <c r="D43" s="10" t="s">
        <v>113</v>
      </c>
      <c r="E43" s="10" t="s">
        <v>112</v>
      </c>
      <c r="F43" s="197"/>
      <c r="G43" s="10"/>
      <c r="H43" s="224">
        <v>243370</v>
      </c>
      <c r="I43" s="224">
        <v>243743</v>
      </c>
      <c r="J43" s="9" t="s">
        <v>32</v>
      </c>
      <c r="K43" s="10">
        <v>202134</v>
      </c>
      <c r="L43" s="190">
        <v>21000</v>
      </c>
      <c r="M43" s="10" t="s">
        <v>44</v>
      </c>
      <c r="N43" s="1"/>
      <c r="O43" s="1" t="s">
        <v>30</v>
      </c>
    </row>
    <row r="44" spans="1:19" hidden="1">
      <c r="A44" s="213">
        <v>35</v>
      </c>
      <c r="B44" s="155" t="s">
        <v>200</v>
      </c>
      <c r="C44" s="210" t="s">
        <v>199</v>
      </c>
      <c r="D44" s="210" t="s">
        <v>120</v>
      </c>
      <c r="E44" s="210" t="s">
        <v>112</v>
      </c>
      <c r="F44" s="204"/>
      <c r="G44" s="210"/>
      <c r="H44" s="226">
        <v>243375</v>
      </c>
      <c r="I44" s="226">
        <v>243929</v>
      </c>
      <c r="J44" s="155" t="s">
        <v>32</v>
      </c>
      <c r="K44" s="210">
        <v>202135</v>
      </c>
      <c r="L44" s="225">
        <v>14500</v>
      </c>
      <c r="M44" s="210" t="s">
        <v>198</v>
      </c>
      <c r="N44" s="1"/>
      <c r="O44" s="1"/>
      <c r="R44" t="s">
        <v>30</v>
      </c>
    </row>
    <row r="45" spans="1:19" ht="14.1" hidden="1" customHeight="1">
      <c r="A45" s="220">
        <v>36</v>
      </c>
      <c r="B45" s="219" t="s">
        <v>197</v>
      </c>
      <c r="C45" s="216" t="s">
        <v>196</v>
      </c>
      <c r="D45" s="216" t="s">
        <v>120</v>
      </c>
      <c r="E45" s="216" t="s">
        <v>112</v>
      </c>
      <c r="F45" s="204"/>
      <c r="G45" s="216"/>
      <c r="H45" s="223">
        <v>243375</v>
      </c>
      <c r="I45" s="223">
        <v>243496</v>
      </c>
      <c r="J45" s="219" t="s">
        <v>195</v>
      </c>
      <c r="K45" s="216">
        <v>202136</v>
      </c>
      <c r="L45" s="222">
        <v>8000</v>
      </c>
      <c r="M45" s="216" t="s">
        <v>194</v>
      </c>
    </row>
    <row r="46" spans="1:19" ht="14.1" customHeight="1">
      <c r="A46" s="211">
        <v>37</v>
      </c>
      <c r="B46" s="9" t="s">
        <v>193</v>
      </c>
      <c r="C46" s="10" t="s">
        <v>192</v>
      </c>
      <c r="D46" s="10" t="s">
        <v>113</v>
      </c>
      <c r="E46" s="10" t="s">
        <v>112</v>
      </c>
      <c r="F46" s="204">
        <v>34567</v>
      </c>
      <c r="G46" s="10" t="s">
        <v>191</v>
      </c>
      <c r="H46" s="224">
        <v>243389</v>
      </c>
      <c r="I46" s="224">
        <v>243769</v>
      </c>
      <c r="J46" s="9" t="s">
        <v>117</v>
      </c>
      <c r="K46" s="10">
        <v>202137</v>
      </c>
      <c r="L46" s="190">
        <v>17500</v>
      </c>
      <c r="M46" s="10" t="s">
        <v>42</v>
      </c>
    </row>
    <row r="47" spans="1:19" hidden="1">
      <c r="A47" s="220">
        <v>38</v>
      </c>
      <c r="B47" s="219" t="s">
        <v>190</v>
      </c>
      <c r="C47" s="216" t="s">
        <v>189</v>
      </c>
      <c r="D47" s="216" t="s">
        <v>120</v>
      </c>
      <c r="E47" s="216" t="s">
        <v>112</v>
      </c>
      <c r="F47" s="204"/>
      <c r="G47" s="216"/>
      <c r="H47" s="223">
        <v>243405</v>
      </c>
      <c r="I47" s="223">
        <v>243411</v>
      </c>
      <c r="J47" s="219" t="s">
        <v>94</v>
      </c>
      <c r="K47" s="216">
        <v>202138</v>
      </c>
      <c r="L47" s="222">
        <v>16000</v>
      </c>
      <c r="M47" s="216" t="s">
        <v>188</v>
      </c>
      <c r="Q47" t="s">
        <v>30</v>
      </c>
    </row>
    <row r="48" spans="1:19" ht="14.1" customHeight="1">
      <c r="A48" s="211">
        <v>39</v>
      </c>
      <c r="B48" s="191" t="s">
        <v>52</v>
      </c>
      <c r="C48" s="202" t="s">
        <v>187</v>
      </c>
      <c r="D48" s="202" t="s">
        <v>113</v>
      </c>
      <c r="E48" s="202" t="s">
        <v>112</v>
      </c>
      <c r="F48" s="204">
        <v>35952</v>
      </c>
      <c r="G48" s="202" t="s">
        <v>186</v>
      </c>
      <c r="H48" s="206">
        <v>243412</v>
      </c>
      <c r="I48" s="202"/>
      <c r="J48" s="191" t="s">
        <v>53</v>
      </c>
      <c r="K48" s="10">
        <v>202139</v>
      </c>
      <c r="L48" s="205">
        <v>23000</v>
      </c>
      <c r="M48" s="221" t="s">
        <v>54</v>
      </c>
    </row>
    <row r="49" spans="1:18" ht="14.1" hidden="1" customHeight="1">
      <c r="A49" s="220">
        <v>40</v>
      </c>
      <c r="B49" s="219" t="s">
        <v>185</v>
      </c>
      <c r="C49" s="216" t="s">
        <v>184</v>
      </c>
      <c r="D49" s="216" t="s">
        <v>120</v>
      </c>
      <c r="E49" s="216" t="s">
        <v>112</v>
      </c>
      <c r="F49" s="204"/>
      <c r="G49" s="216"/>
      <c r="H49" s="218">
        <v>243408</v>
      </c>
      <c r="I49" s="216"/>
      <c r="J49" s="217" t="s">
        <v>35</v>
      </c>
      <c r="K49" s="216">
        <v>202140</v>
      </c>
      <c r="L49" s="215">
        <v>1000</v>
      </c>
      <c r="M49" s="214" t="s">
        <v>183</v>
      </c>
      <c r="N49" t="s">
        <v>30</v>
      </c>
      <c r="Q49" t="s">
        <v>30</v>
      </c>
    </row>
    <row r="50" spans="1:18" ht="14.1" customHeight="1">
      <c r="A50" s="211">
        <v>41</v>
      </c>
      <c r="B50" s="191" t="s">
        <v>182</v>
      </c>
      <c r="C50" s="202" t="s">
        <v>181</v>
      </c>
      <c r="D50" s="202" t="s">
        <v>120</v>
      </c>
      <c r="E50" s="202" t="s">
        <v>112</v>
      </c>
      <c r="F50" s="204">
        <v>29410</v>
      </c>
      <c r="G50" s="202" t="s">
        <v>180</v>
      </c>
      <c r="H50" s="206">
        <v>243419</v>
      </c>
      <c r="I50" s="202"/>
      <c r="J50" s="191" t="s">
        <v>25</v>
      </c>
      <c r="K50" s="10">
        <v>202141</v>
      </c>
      <c r="L50" s="205">
        <v>16000</v>
      </c>
      <c r="M50" s="13" t="s">
        <v>26</v>
      </c>
    </row>
    <row r="51" spans="1:18" ht="14.1" hidden="1" customHeight="1">
      <c r="A51" s="213">
        <v>42</v>
      </c>
      <c r="B51" s="155" t="s">
        <v>179</v>
      </c>
      <c r="C51" s="210" t="s">
        <v>178</v>
      </c>
      <c r="D51" s="210" t="s">
        <v>120</v>
      </c>
      <c r="E51" s="210" t="s">
        <v>112</v>
      </c>
      <c r="F51" s="204"/>
      <c r="G51" s="210"/>
      <c r="H51" s="207">
        <v>243405</v>
      </c>
      <c r="I51" s="210"/>
      <c r="J51" s="155" t="s">
        <v>19</v>
      </c>
      <c r="K51" s="210">
        <v>202142</v>
      </c>
      <c r="L51" s="209">
        <v>50000</v>
      </c>
      <c r="M51" s="152" t="s">
        <v>177</v>
      </c>
    </row>
    <row r="52" spans="1:18" ht="14.1" hidden="1" customHeight="1">
      <c r="A52" s="212">
        <v>43</v>
      </c>
      <c r="B52" s="201" t="s">
        <v>176</v>
      </c>
      <c r="C52" s="200" t="s">
        <v>175</v>
      </c>
      <c r="D52" s="200" t="s">
        <v>120</v>
      </c>
      <c r="E52" s="200" t="s">
        <v>112</v>
      </c>
      <c r="F52" s="204"/>
      <c r="G52" s="200"/>
      <c r="H52" s="203">
        <v>243450</v>
      </c>
      <c r="I52" s="200"/>
      <c r="J52" s="201" t="s">
        <v>94</v>
      </c>
      <c r="K52" s="200">
        <v>202143</v>
      </c>
      <c r="L52" s="199">
        <v>19000</v>
      </c>
      <c r="M52" s="198" t="s">
        <v>174</v>
      </c>
    </row>
    <row r="53" spans="1:18" ht="14.1" hidden="1" customHeight="1">
      <c r="A53" s="212">
        <v>44</v>
      </c>
      <c r="B53" s="201" t="s">
        <v>173</v>
      </c>
      <c r="C53" s="200" t="s">
        <v>172</v>
      </c>
      <c r="D53" s="200" t="s">
        <v>120</v>
      </c>
      <c r="E53" s="200" t="s">
        <v>112</v>
      </c>
      <c r="F53" s="204"/>
      <c r="G53" s="200"/>
      <c r="H53" s="203">
        <v>243466</v>
      </c>
      <c r="I53" s="200"/>
      <c r="J53" s="201" t="s">
        <v>171</v>
      </c>
      <c r="K53" s="200">
        <v>202144</v>
      </c>
      <c r="L53" s="199">
        <v>16000</v>
      </c>
      <c r="M53" s="198" t="s">
        <v>170</v>
      </c>
    </row>
    <row r="54" spans="1:18" ht="14.1" hidden="1" customHeight="1">
      <c r="A54" s="213">
        <v>45</v>
      </c>
      <c r="B54" s="155" t="s">
        <v>169</v>
      </c>
      <c r="C54" s="210" t="s">
        <v>168</v>
      </c>
      <c r="D54" s="210" t="s">
        <v>113</v>
      </c>
      <c r="E54" s="210" t="s">
        <v>112</v>
      </c>
      <c r="F54" s="204"/>
      <c r="G54" s="210"/>
      <c r="H54" s="207">
        <v>243474</v>
      </c>
      <c r="I54" s="210"/>
      <c r="J54" s="155" t="s">
        <v>19</v>
      </c>
      <c r="K54" s="210">
        <v>202145</v>
      </c>
      <c r="L54" s="209">
        <v>40000</v>
      </c>
      <c r="M54" s="152" t="s">
        <v>167</v>
      </c>
    </row>
    <row r="55" spans="1:18" ht="12.6" hidden="1" customHeight="1">
      <c r="A55" s="212">
        <v>46</v>
      </c>
      <c r="B55" s="201" t="s">
        <v>166</v>
      </c>
      <c r="C55" s="200" t="s">
        <v>165</v>
      </c>
      <c r="D55" s="200" t="s">
        <v>113</v>
      </c>
      <c r="E55" s="200" t="s">
        <v>112</v>
      </c>
      <c r="F55" s="204"/>
      <c r="G55" s="200"/>
      <c r="H55" s="203">
        <v>243489</v>
      </c>
      <c r="I55" s="208" t="s">
        <v>164</v>
      </c>
      <c r="J55" s="201" t="s">
        <v>163</v>
      </c>
      <c r="K55" s="200">
        <v>202146</v>
      </c>
      <c r="L55" s="199">
        <v>16000</v>
      </c>
      <c r="M55" s="198" t="s">
        <v>162</v>
      </c>
      <c r="R55" t="s">
        <v>30</v>
      </c>
    </row>
    <row r="56" spans="1:18">
      <c r="A56" s="211">
        <v>47</v>
      </c>
      <c r="B56" s="191" t="s">
        <v>161</v>
      </c>
      <c r="C56" s="202"/>
      <c r="D56" s="202" t="s">
        <v>120</v>
      </c>
      <c r="E56" s="202" t="s">
        <v>112</v>
      </c>
      <c r="F56" s="204"/>
      <c r="G56" s="202"/>
      <c r="H56" s="206">
        <v>243527</v>
      </c>
      <c r="I56" s="202"/>
      <c r="J56" s="9" t="s">
        <v>94</v>
      </c>
      <c r="K56" s="10">
        <v>202147</v>
      </c>
      <c r="L56" s="205">
        <v>17500</v>
      </c>
      <c r="M56" s="13"/>
    </row>
    <row r="57" spans="1:18" hidden="1">
      <c r="A57" s="155">
        <v>48</v>
      </c>
      <c r="B57" s="155" t="s">
        <v>160</v>
      </c>
      <c r="C57" s="210"/>
      <c r="D57" s="210" t="s">
        <v>120</v>
      </c>
      <c r="E57" s="210" t="s">
        <v>131</v>
      </c>
      <c r="F57" s="204"/>
      <c r="G57" s="210"/>
      <c r="H57" s="207">
        <v>243652</v>
      </c>
      <c r="I57" s="210"/>
      <c r="J57" s="155" t="s">
        <v>35</v>
      </c>
      <c r="K57" s="210">
        <v>202148</v>
      </c>
      <c r="L57" s="209">
        <v>1000</v>
      </c>
      <c r="M57" s="152"/>
    </row>
    <row r="58" spans="1:18">
      <c r="A58" s="191">
        <v>49</v>
      </c>
      <c r="B58" s="191" t="s">
        <v>159</v>
      </c>
      <c r="C58" s="202" t="s">
        <v>158</v>
      </c>
      <c r="D58" s="202" t="s">
        <v>120</v>
      </c>
      <c r="E58" s="202" t="s">
        <v>112</v>
      </c>
      <c r="F58" s="204">
        <v>26755</v>
      </c>
      <c r="G58" s="202" t="s">
        <v>157</v>
      </c>
      <c r="H58" s="206">
        <v>243748</v>
      </c>
      <c r="I58" s="202"/>
      <c r="J58" s="9" t="s">
        <v>35</v>
      </c>
      <c r="K58" s="10">
        <v>202149</v>
      </c>
      <c r="L58" s="205">
        <v>600</v>
      </c>
      <c r="M58" s="13" t="s">
        <v>49</v>
      </c>
    </row>
    <row r="59" spans="1:18" hidden="1">
      <c r="A59" s="201">
        <v>50</v>
      </c>
      <c r="B59" s="201" t="s">
        <v>156</v>
      </c>
      <c r="C59" s="200" t="s">
        <v>155</v>
      </c>
      <c r="D59" s="200" t="s">
        <v>113</v>
      </c>
      <c r="E59" s="200" t="s">
        <v>119</v>
      </c>
      <c r="F59" s="243" t="s">
        <v>154</v>
      </c>
      <c r="G59" s="200"/>
      <c r="H59" s="203">
        <v>243749</v>
      </c>
      <c r="I59" s="200"/>
      <c r="J59" s="201" t="s">
        <v>117</v>
      </c>
      <c r="K59" s="200">
        <v>202150</v>
      </c>
      <c r="L59" s="199">
        <v>400</v>
      </c>
      <c r="M59" s="198" t="s">
        <v>40</v>
      </c>
    </row>
    <row r="60" spans="1:18">
      <c r="A60" s="191">
        <v>51</v>
      </c>
      <c r="B60" s="191" t="s">
        <v>153</v>
      </c>
      <c r="C60" s="202" t="s">
        <v>152</v>
      </c>
      <c r="D60" s="202" t="s">
        <v>113</v>
      </c>
      <c r="E60" s="202" t="s">
        <v>151</v>
      </c>
      <c r="F60" s="204" t="s">
        <v>150</v>
      </c>
      <c r="G60" s="202"/>
      <c r="H60" s="206">
        <v>243767</v>
      </c>
      <c r="I60" s="207">
        <v>244169</v>
      </c>
      <c r="J60" s="9" t="s">
        <v>32</v>
      </c>
      <c r="K60" s="10">
        <v>202151</v>
      </c>
      <c r="L60" s="205">
        <v>700</v>
      </c>
      <c r="M60" s="13" t="s">
        <v>38</v>
      </c>
      <c r="Q60" t="s">
        <v>30</v>
      </c>
    </row>
    <row r="61" spans="1:18">
      <c r="A61" s="191">
        <v>52</v>
      </c>
      <c r="B61" s="191" t="s">
        <v>149</v>
      </c>
      <c r="C61" s="202" t="s">
        <v>148</v>
      </c>
      <c r="D61" s="202" t="s">
        <v>120</v>
      </c>
      <c r="E61" s="202" t="s">
        <v>112</v>
      </c>
      <c r="F61" s="204"/>
      <c r="G61" s="202"/>
      <c r="H61" s="206">
        <v>243770</v>
      </c>
      <c r="I61" s="202"/>
      <c r="J61" s="9" t="s">
        <v>94</v>
      </c>
      <c r="K61" s="10">
        <v>202152</v>
      </c>
      <c r="L61" s="205">
        <v>17500</v>
      </c>
      <c r="M61" s="13"/>
    </row>
    <row r="62" spans="1:18" hidden="1">
      <c r="A62" s="201">
        <v>53</v>
      </c>
      <c r="B62" s="201" t="s">
        <v>147</v>
      </c>
      <c r="C62" s="200" t="s">
        <v>146</v>
      </c>
      <c r="D62" s="200" t="s">
        <v>120</v>
      </c>
      <c r="E62" s="200" t="s">
        <v>112</v>
      </c>
      <c r="F62" s="204"/>
      <c r="G62" s="200"/>
      <c r="H62" s="203">
        <v>243770</v>
      </c>
      <c r="I62" s="202"/>
      <c r="J62" s="201" t="s">
        <v>94</v>
      </c>
      <c r="K62" s="200">
        <v>202153</v>
      </c>
      <c r="L62" s="199">
        <v>18000</v>
      </c>
      <c r="M62" s="13"/>
      <c r="N62" t="s">
        <v>30</v>
      </c>
    </row>
    <row r="63" spans="1:18" hidden="1">
      <c r="A63" s="201">
        <v>54</v>
      </c>
      <c r="B63" s="201" t="s">
        <v>145</v>
      </c>
      <c r="C63" s="200" t="s">
        <v>144</v>
      </c>
      <c r="D63" s="200" t="s">
        <v>113</v>
      </c>
      <c r="E63" s="200" t="s">
        <v>119</v>
      </c>
      <c r="F63" s="243" t="s">
        <v>143</v>
      </c>
      <c r="G63" s="200"/>
      <c r="H63" s="203">
        <v>243778</v>
      </c>
      <c r="I63" s="200"/>
      <c r="J63" s="201" t="s">
        <v>117</v>
      </c>
      <c r="K63" s="200">
        <v>202154</v>
      </c>
      <c r="L63" s="199">
        <v>400</v>
      </c>
      <c r="M63" s="198" t="s">
        <v>142</v>
      </c>
    </row>
    <row r="64" spans="1:18" hidden="1">
      <c r="A64" s="155">
        <v>55</v>
      </c>
      <c r="B64" s="155" t="s">
        <v>141</v>
      </c>
      <c r="C64" s="210" t="s">
        <v>140</v>
      </c>
      <c r="D64" s="210" t="s">
        <v>113</v>
      </c>
      <c r="E64" s="210" t="s">
        <v>119</v>
      </c>
      <c r="F64" s="204"/>
      <c r="G64" s="210"/>
      <c r="H64" s="207">
        <v>243789</v>
      </c>
      <c r="I64" s="207">
        <v>243902</v>
      </c>
      <c r="J64" s="155" t="s">
        <v>35</v>
      </c>
      <c r="K64" s="210">
        <v>202155</v>
      </c>
      <c r="L64" s="209">
        <v>400</v>
      </c>
      <c r="M64" s="152" t="s">
        <v>139</v>
      </c>
    </row>
    <row r="65" spans="1:13" hidden="1">
      <c r="A65" s="201">
        <v>56</v>
      </c>
      <c r="B65" s="201" t="s">
        <v>138</v>
      </c>
      <c r="C65" s="200"/>
      <c r="D65" s="200" t="s">
        <v>120</v>
      </c>
      <c r="E65" s="200" t="s">
        <v>131</v>
      </c>
      <c r="F65" s="204"/>
      <c r="G65" s="200"/>
      <c r="H65" s="203">
        <v>243770</v>
      </c>
      <c r="I65" s="202"/>
      <c r="J65" s="201" t="s">
        <v>35</v>
      </c>
      <c r="K65" s="200">
        <v>202156</v>
      </c>
      <c r="L65" s="199">
        <v>1000</v>
      </c>
      <c r="M65" s="13"/>
    </row>
    <row r="66" spans="1:13" hidden="1">
      <c r="A66" s="201">
        <v>57</v>
      </c>
      <c r="B66" s="201" t="s">
        <v>137</v>
      </c>
      <c r="C66" s="200"/>
      <c r="D66" s="200" t="s">
        <v>113</v>
      </c>
      <c r="E66" s="200" t="s">
        <v>112</v>
      </c>
      <c r="F66" s="204"/>
      <c r="G66" s="200"/>
      <c r="H66" s="203">
        <v>243793</v>
      </c>
      <c r="I66" s="208">
        <v>243830</v>
      </c>
      <c r="J66" s="201" t="s">
        <v>94</v>
      </c>
      <c r="K66" s="200">
        <v>202157</v>
      </c>
      <c r="L66" s="199"/>
      <c r="M66" s="13"/>
    </row>
    <row r="67" spans="1:13" hidden="1">
      <c r="A67" s="201">
        <v>58</v>
      </c>
      <c r="B67" s="201" t="s">
        <v>136</v>
      </c>
      <c r="C67" s="200" t="s">
        <v>135</v>
      </c>
      <c r="D67" s="200" t="s">
        <v>113</v>
      </c>
      <c r="E67" s="200" t="s">
        <v>112</v>
      </c>
      <c r="F67" s="204"/>
      <c r="G67" s="200"/>
      <c r="H67" s="203">
        <v>243819</v>
      </c>
      <c r="I67" s="208">
        <v>243830</v>
      </c>
      <c r="J67" s="201" t="s">
        <v>35</v>
      </c>
      <c r="K67" s="200">
        <v>202157</v>
      </c>
      <c r="L67" s="199">
        <v>500</v>
      </c>
      <c r="M67" s="198" t="s">
        <v>134</v>
      </c>
    </row>
    <row r="68" spans="1:13" hidden="1">
      <c r="A68" s="201">
        <v>59</v>
      </c>
      <c r="B68" s="201" t="s">
        <v>133</v>
      </c>
      <c r="C68" s="200" t="s">
        <v>132</v>
      </c>
      <c r="D68" s="200" t="s">
        <v>120</v>
      </c>
      <c r="E68" s="200" t="s">
        <v>131</v>
      </c>
      <c r="F68" s="204"/>
      <c r="G68" s="200"/>
      <c r="H68" s="203">
        <v>243862</v>
      </c>
      <c r="I68" s="207">
        <v>244014</v>
      </c>
      <c r="J68" s="201" t="s">
        <v>35</v>
      </c>
      <c r="K68" s="200">
        <v>202158</v>
      </c>
      <c r="L68" s="199">
        <v>1000</v>
      </c>
      <c r="M68" s="198"/>
    </row>
    <row r="69" spans="1:13">
      <c r="A69" s="191">
        <v>60</v>
      </c>
      <c r="B69" s="191" t="s">
        <v>130</v>
      </c>
      <c r="C69" s="202" t="s">
        <v>129</v>
      </c>
      <c r="D69" s="202" t="s">
        <v>120</v>
      </c>
      <c r="E69" s="202" t="s">
        <v>112</v>
      </c>
      <c r="F69" s="204">
        <v>36995</v>
      </c>
      <c r="G69" s="202" t="s">
        <v>128</v>
      </c>
      <c r="H69" s="206">
        <v>243931</v>
      </c>
      <c r="I69" s="202"/>
      <c r="J69" s="9" t="s">
        <v>94</v>
      </c>
      <c r="K69" s="10">
        <v>202159</v>
      </c>
      <c r="L69" s="205">
        <v>18000</v>
      </c>
      <c r="M69" s="13" t="s">
        <v>29</v>
      </c>
    </row>
    <row r="70" spans="1:13" hidden="1">
      <c r="A70" s="201">
        <v>61</v>
      </c>
      <c r="B70" s="201" t="s">
        <v>127</v>
      </c>
      <c r="C70" s="200"/>
      <c r="D70" s="200" t="s">
        <v>120</v>
      </c>
      <c r="E70" s="200" t="s">
        <v>112</v>
      </c>
      <c r="F70" s="204"/>
      <c r="G70" s="200"/>
      <c r="H70" s="203">
        <v>243925</v>
      </c>
      <c r="I70" s="202"/>
      <c r="J70" s="201" t="s">
        <v>126</v>
      </c>
      <c r="K70" s="200">
        <v>202160</v>
      </c>
      <c r="L70" s="199">
        <v>18000</v>
      </c>
      <c r="M70" s="198" t="s">
        <v>125</v>
      </c>
    </row>
    <row r="71" spans="1:13" hidden="1">
      <c r="A71" s="201">
        <v>62</v>
      </c>
      <c r="B71" s="201" t="s">
        <v>124</v>
      </c>
      <c r="C71" s="200" t="s">
        <v>123</v>
      </c>
      <c r="D71" s="200" t="s">
        <v>120</v>
      </c>
      <c r="E71" s="200" t="s">
        <v>112</v>
      </c>
      <c r="F71" s="204"/>
      <c r="G71" s="200"/>
      <c r="H71" s="203">
        <v>243966</v>
      </c>
      <c r="I71" s="202"/>
      <c r="J71" s="201" t="s">
        <v>35</v>
      </c>
      <c r="K71" s="200">
        <v>202162</v>
      </c>
      <c r="L71" s="199">
        <v>500</v>
      </c>
      <c r="M71" s="198"/>
    </row>
    <row r="72" spans="1:13">
      <c r="A72" s="9">
        <v>63</v>
      </c>
      <c r="B72" s="9" t="s">
        <v>122</v>
      </c>
      <c r="C72" s="10" t="s">
        <v>121</v>
      </c>
      <c r="D72" s="10" t="s">
        <v>120</v>
      </c>
      <c r="E72" s="10" t="s">
        <v>119</v>
      </c>
      <c r="F72" s="197" t="s">
        <v>118</v>
      </c>
      <c r="G72" s="10"/>
      <c r="H72" s="192">
        <v>243968</v>
      </c>
      <c r="I72" s="10"/>
      <c r="J72" s="9" t="s">
        <v>117</v>
      </c>
      <c r="K72" s="10">
        <v>202163</v>
      </c>
      <c r="L72" s="196">
        <v>400</v>
      </c>
      <c r="M72" s="13"/>
    </row>
    <row r="73" spans="1:13">
      <c r="A73" s="9">
        <v>64</v>
      </c>
      <c r="B73" s="9" t="s">
        <v>55</v>
      </c>
      <c r="C73" s="10" t="s">
        <v>116</v>
      </c>
      <c r="D73" s="10" t="s">
        <v>113</v>
      </c>
      <c r="E73" s="10" t="s">
        <v>112</v>
      </c>
      <c r="F73" s="197">
        <v>37651</v>
      </c>
      <c r="G73" s="10" t="s">
        <v>115</v>
      </c>
      <c r="H73" s="192">
        <v>244137</v>
      </c>
      <c r="I73" s="10"/>
      <c r="J73" s="191" t="s">
        <v>53</v>
      </c>
      <c r="K73" s="10">
        <v>202164</v>
      </c>
      <c r="L73" s="196">
        <v>22000</v>
      </c>
      <c r="M73" s="13" t="s">
        <v>56</v>
      </c>
    </row>
    <row r="74" spans="1:13">
      <c r="A74" s="9">
        <v>65</v>
      </c>
      <c r="B74" s="14" t="s">
        <v>57</v>
      </c>
      <c r="C74" s="195" t="s">
        <v>114</v>
      </c>
      <c r="D74" s="14" t="s">
        <v>113</v>
      </c>
      <c r="E74" s="10" t="s">
        <v>112</v>
      </c>
      <c r="F74" s="194">
        <v>233459</v>
      </c>
      <c r="G74" s="195" t="s">
        <v>111</v>
      </c>
      <c r="H74" s="194">
        <v>244144</v>
      </c>
      <c r="I74" s="10"/>
      <c r="J74" s="191" t="s">
        <v>53</v>
      </c>
      <c r="K74" s="10">
        <v>202165</v>
      </c>
      <c r="L74" s="193">
        <v>25000</v>
      </c>
      <c r="M74" s="10" t="s">
        <v>58</v>
      </c>
    </row>
    <row r="75" spans="1:13">
      <c r="A75" s="9">
        <v>66</v>
      </c>
      <c r="B75" s="9"/>
      <c r="C75" s="10"/>
      <c r="D75" s="9"/>
      <c r="E75" s="10"/>
      <c r="F75" s="192"/>
      <c r="G75" s="10"/>
      <c r="H75" s="192"/>
      <c r="I75" s="10"/>
      <c r="J75" s="191"/>
      <c r="K75" s="10"/>
      <c r="L75" s="190"/>
      <c r="M75" s="10"/>
    </row>
    <row r="76" spans="1:13">
      <c r="A76" s="9"/>
      <c r="B76" s="9"/>
      <c r="C76" s="10"/>
      <c r="D76" s="9"/>
      <c r="E76" s="10"/>
      <c r="F76" s="192"/>
      <c r="G76" s="10"/>
      <c r="H76" s="192"/>
      <c r="I76" s="10"/>
      <c r="J76" s="191"/>
      <c r="K76" s="10"/>
      <c r="L76" s="190"/>
      <c r="M76" s="10"/>
    </row>
    <row r="77" spans="1:13">
      <c r="A77" s="9"/>
      <c r="B77" s="9"/>
      <c r="C77" s="10"/>
      <c r="D77" s="9"/>
      <c r="E77" s="10"/>
      <c r="F77" s="192"/>
      <c r="G77" s="10"/>
      <c r="H77" s="192"/>
      <c r="I77" s="10"/>
      <c r="J77" s="191"/>
      <c r="K77" s="10"/>
      <c r="L77" s="190"/>
      <c r="M77" s="10"/>
    </row>
    <row r="78" spans="1:13">
      <c r="A78" s="9"/>
      <c r="B78" s="9"/>
      <c r="C78" s="10"/>
      <c r="D78" s="9"/>
      <c r="E78" s="10"/>
      <c r="F78" s="192"/>
      <c r="G78" s="10"/>
      <c r="H78" s="192"/>
      <c r="I78" s="10"/>
      <c r="J78" s="191"/>
      <c r="K78" s="10"/>
      <c r="L78" s="190"/>
      <c r="M78" s="10"/>
    </row>
    <row r="79" spans="1:13">
      <c r="A79" s="9"/>
      <c r="B79" s="9"/>
      <c r="C79" s="10"/>
      <c r="D79" s="9"/>
      <c r="E79" s="10"/>
      <c r="F79" s="192"/>
      <c r="G79" s="10"/>
      <c r="H79" s="192"/>
      <c r="I79" s="10"/>
      <c r="J79" s="191"/>
      <c r="K79" s="10"/>
      <c r="L79" s="190"/>
      <c r="M79" s="10"/>
    </row>
    <row r="80" spans="1:1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</row>
    <row r="81" spans="1:13">
      <c r="A81" s="189"/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189"/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189"/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</sheetData>
  <mergeCells count="25">
    <mergeCell ref="B5:M5"/>
    <mergeCell ref="B6:M6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O8:O9"/>
    <mergeCell ref="P8:P9"/>
    <mergeCell ref="Q8:Q9"/>
    <mergeCell ref="R8:R9"/>
    <mergeCell ref="N40:N41"/>
    <mergeCell ref="O40:O41"/>
    <mergeCell ref="P40:P41"/>
    <mergeCell ref="Q40:Q41"/>
    <mergeCell ref="R40:R41"/>
    <mergeCell ref="N8:N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สรุปเงินเดือน</vt:lpstr>
      <vt:lpstr>มค69</vt:lpstr>
      <vt:lpstr>ประวัติ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 Intraphorn</dc:creator>
  <cp:lastModifiedBy>555555555 55555555</cp:lastModifiedBy>
  <cp:lastPrinted>2026-01-26T04:51:41Z</cp:lastPrinted>
  <dcterms:created xsi:type="dcterms:W3CDTF">2026-01-04T06:59:14Z</dcterms:created>
  <dcterms:modified xsi:type="dcterms:W3CDTF">2026-01-26T05:03:12Z</dcterms:modified>
</cp:coreProperties>
</file>